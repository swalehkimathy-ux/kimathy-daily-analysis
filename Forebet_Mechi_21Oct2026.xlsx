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chi_Leo" sheetId="1" state="visible" r:id="rId3"/>
    <sheet name="Top_Picks" sheetId="2" state="visible" r:id="rId4"/>
    <sheet name="Maelezo" sheetId="3" state="visible" r:id="rId5"/>
  </sheets>
  <definedNames>
    <definedName function="false" hidden="true" localSheetId="0" name="_xlnm._FilterDatabase" vbProcedure="false">Mechi_Leo!$A$4:$W$46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<sst xmlns="http://schemas.openxmlformats.org/spreadsheetml/2006/main" count="402" uniqueCount="218">
  <si>
    <t xml:space="preserve">Forebet – Utabiri wa Mpira wa Miguu: 21/10/2026</t>
  </si>
  <si>
    <t xml:space="preserve">Chanzo: forebet.com (Football predictions for today). Mechi 42 za mwanzo zilizoonekana kwenye ukurasa (kati ya 225 za leo). Angalia sheet 'Maelezo'.</t>
  </si>
  <si>
    <t xml:space="preserve">Tarehe</t>
  </si>
  <si>
    <t xml:space="preserve">Saa</t>
  </si>
  <si>
    <t xml:space="preserve">Ligi</t>
  </si>
  <si>
    <t xml:space="preserve">Nchi/Ligi (kamili)</t>
  </si>
  <si>
    <t xml:space="preserve">Timu ya Nyumbani</t>
  </si>
  <si>
    <t xml:space="preserve">Timu ya Ugenini</t>
  </si>
  <si>
    <t xml:space="preserve">Home Win %</t>
  </si>
  <si>
    <t xml:space="preserve">Draw %</t>
  </si>
  <si>
    <t xml:space="preserve">Away Win %</t>
  </si>
  <si>
    <t xml:space="preserve">Utabiri (1/X/2)</t>
  </si>
  <si>
    <t xml:space="preserve">Matokeo Yanayotabiriwa</t>
  </si>
  <si>
    <t xml:space="preserve">Wastani wa Magoli</t>
  </si>
  <si>
    <t xml:space="preserve">Joto (°F)</t>
  </si>
  <si>
    <t xml:space="preserve">Odds 1 (Amer.)</t>
  </si>
  <si>
    <t xml:space="preserve">Odds X (Amer.)</t>
  </si>
  <si>
    <t xml:space="preserve">Odds 2 (Amer.)</t>
  </si>
  <si>
    <t xml:space="preserve">Odds 1 (Decimal)</t>
  </si>
  <si>
    <t xml:space="preserve">Odds X (Decimal)</t>
  </si>
  <si>
    <t xml:space="preserve">Odds 2 (Decimal)</t>
  </si>
  <si>
    <t xml:space="preserve">Uhakika wa Juu %</t>
  </si>
  <si>
    <t xml:space="preserve">Nafasi Nyumbani</t>
  </si>
  <si>
    <t xml:space="preserve">Nafasi Ugenini</t>
  </si>
  <si>
    <t xml:space="preserve">Trend / Takwimu muhimu</t>
  </si>
  <si>
    <t xml:space="preserve">21/10/2026</t>
  </si>
  <si>
    <t xml:space="preserve">10:00</t>
  </si>
  <si>
    <t xml:space="preserve">CzU</t>
  </si>
  <si>
    <t xml:space="preserve">Ostrava U19</t>
  </si>
  <si>
    <t xml:space="preserve">Plzen U19</t>
  </si>
  <si>
    <t xml:space="preserve">2</t>
  </si>
  <si>
    <t xml:space="preserve">1-3</t>
  </si>
  <si>
    <t xml:space="preserve">Plzen U19 kept clean sheet in last 5 U19 League matches</t>
  </si>
  <si>
    <t xml:space="preserve">ThC</t>
  </si>
  <si>
    <t xml:space="preserve">KBU FC</t>
  </si>
  <si>
    <t xml:space="preserve">Customs United</t>
  </si>
  <si>
    <t xml:space="preserve">X</t>
  </si>
  <si>
    <t xml:space="preserve">0-0</t>
  </si>
  <si>
    <t xml:space="preserve">Chumphon United</t>
  </si>
  <si>
    <t xml:space="preserve">Songkhla FC</t>
  </si>
  <si>
    <t xml:space="preserve">0-3</t>
  </si>
  <si>
    <t xml:space="preserve">Dome</t>
  </si>
  <si>
    <t xml:space="preserve">Sisaket United</t>
  </si>
  <si>
    <t xml:space="preserve">0-2</t>
  </si>
  <si>
    <t xml:space="preserve">RoW</t>
  </si>
  <si>
    <t xml:space="preserve">Csikszereda MC W</t>
  </si>
  <si>
    <t xml:space="preserve">Gloria Bistrița-Năsăud W</t>
  </si>
  <si>
    <t xml:space="preserve">3-4</t>
  </si>
  <si>
    <t xml:space="preserve">Csikszereda won last 4 home matches vs Gloria</t>
  </si>
  <si>
    <t xml:space="preserve">Rapid W</t>
  </si>
  <si>
    <t xml:space="preserve">Farul Constanţa W</t>
  </si>
  <si>
    <t xml:space="preserve">2-6</t>
  </si>
  <si>
    <t xml:space="preserve">Farul: over 2.5 goals in last 4 league matches</t>
  </si>
  <si>
    <t xml:space="preserve">Ol. Cluj W</t>
  </si>
  <si>
    <t xml:space="preserve">Universitatea Craiova W</t>
  </si>
  <si>
    <t xml:space="preserve">1</t>
  </si>
  <si>
    <t xml:space="preserve">4-1</t>
  </si>
  <si>
    <t xml:space="preserve">Craiova W lost 3 straight away games (HT &amp; FT)</t>
  </si>
  <si>
    <t xml:space="preserve">10:30</t>
  </si>
  <si>
    <t xml:space="preserve">Id1</t>
  </si>
  <si>
    <t xml:space="preserve">Bali United</t>
  </si>
  <si>
    <t xml:space="preserve">Pusam Garudayaksa FC</t>
  </si>
  <si>
    <t xml:space="preserve">2-0</t>
  </si>
  <si>
    <t xml:space="preserve">Bali United won HT/FT in last 4 home matches</t>
  </si>
  <si>
    <t xml:space="preserve">11:30</t>
  </si>
  <si>
    <t xml:space="preserve">JpW</t>
  </si>
  <si>
    <t xml:space="preserve">Nojima Stella W</t>
  </si>
  <si>
    <t xml:space="preserve">Albirex Niigata W</t>
  </si>
  <si>
    <t xml:space="preserve">1-1</t>
  </si>
  <si>
    <t xml:space="preserve">Nojima kept clean sheet in last 3 home matches vs Albirex</t>
  </si>
  <si>
    <t xml:space="preserve">12:00</t>
  </si>
  <si>
    <t xml:space="preserve">Jp1</t>
  </si>
  <si>
    <t xml:space="preserve">V-Varen Nagasaki</t>
  </si>
  <si>
    <t xml:space="preserve">Sanfrecce</t>
  </si>
  <si>
    <t xml:space="preserve">Sanfrecce unbeaten in 19 of last 21 J1 matches</t>
  </si>
  <si>
    <t xml:space="preserve">Avispa Fukuoka</t>
  </si>
  <si>
    <t xml:space="preserve">Gamba Osaka</t>
  </si>
  <si>
    <t xml:space="preserve">Gamba failed to win 6 of last 7 vs Avispa</t>
  </si>
  <si>
    <t xml:space="preserve">Fagiano Okayama</t>
  </si>
  <si>
    <t xml:space="preserve">Mito HollyHock</t>
  </si>
  <si>
    <t xml:space="preserve">Mito lost 4 straight J1 matches</t>
  </si>
  <si>
    <t xml:space="preserve">Kyoto Sanga</t>
  </si>
  <si>
    <t xml:space="preserve">Kashima Antlers</t>
  </si>
  <si>
    <t xml:space="preserve">1-2</t>
  </si>
  <si>
    <t xml:space="preserve">Kashima unbeaten in last 6 away vs Kyoto</t>
  </si>
  <si>
    <t xml:space="preserve">Nagoya Grampus</t>
  </si>
  <si>
    <t xml:space="preserve">Cerezo Osaka</t>
  </si>
  <si>
    <t xml:space="preserve">3-1</t>
  </si>
  <si>
    <t xml:space="preserve">Nagoya: over 2.5 goals in last 3 home matches</t>
  </si>
  <si>
    <t xml:space="preserve">Shimizu S-Pulse</t>
  </si>
  <si>
    <t xml:space="preserve">Machida Zelvia</t>
  </si>
  <si>
    <t xml:space="preserve">2-3</t>
  </si>
  <si>
    <t xml:space="preserve">Machida unbeaten at HT in last 15 away matches</t>
  </si>
  <si>
    <t xml:space="preserve">Yokohama Marinos</t>
  </si>
  <si>
    <t xml:space="preserve">Tokyo Verdy</t>
  </si>
  <si>
    <t xml:space="preserve">3-0</t>
  </si>
  <si>
    <t xml:space="preserve">Verdy lost last 3 matches by 2+ goals</t>
  </si>
  <si>
    <t xml:space="preserve">Kawasaki Frontale</t>
  </si>
  <si>
    <t xml:space="preserve">Vissel Kobe</t>
  </si>
  <si>
    <t xml:space="preserve">Kawasaki: over 2.5 goals in last 5 home matches</t>
  </si>
  <si>
    <t xml:space="preserve">FC Tokyo</t>
  </si>
  <si>
    <t xml:space="preserve">Kashiwa Reysol</t>
  </si>
  <si>
    <t xml:space="preserve">FC Tokyo kept 4 straight home clean sheets</t>
  </si>
  <si>
    <t xml:space="preserve">Jp2</t>
  </si>
  <si>
    <t xml:space="preserve">Tegevajaro Miyazaki</t>
  </si>
  <si>
    <t xml:space="preserve">Blaublitz Akita</t>
  </si>
  <si>
    <t xml:space="preserve">Akita: under 2.5 goals in last 5 away matches</t>
  </si>
  <si>
    <t xml:space="preserve">Tokushima Vortis</t>
  </si>
  <si>
    <t xml:space="preserve">Vanraure Hachinohe</t>
  </si>
  <si>
    <t xml:space="preserve">1-0</t>
  </si>
  <si>
    <t xml:space="preserve">Hachinohe failed to win 6 of last 7</t>
  </si>
  <si>
    <t xml:space="preserve">Jubilo Iwata</t>
  </si>
  <si>
    <t xml:space="preserve">Oita Trinita</t>
  </si>
  <si>
    <t xml:space="preserve">Oita unbeaten in last 7 J2 matches</t>
  </si>
  <si>
    <t xml:space="preserve">Albirex Niigata</t>
  </si>
  <si>
    <t xml:space="preserve">Sagan Tosu</t>
  </si>
  <si>
    <t xml:space="preserve">Albirex Niigata won 5 home matches in a row</t>
  </si>
  <si>
    <t xml:space="preserve">Ventforet Kofu</t>
  </si>
  <si>
    <t xml:space="preserve">Yokohama FC</t>
  </si>
  <si>
    <t xml:space="preserve">Kofu: over 2.5 goals in last 4 matches</t>
  </si>
  <si>
    <t xml:space="preserve">Shonan Bellmare</t>
  </si>
  <si>
    <t xml:space="preserve">Iwaki FC</t>
  </si>
  <si>
    <t xml:space="preserve">Shonan: under 2.5 goals in last 3 matches</t>
  </si>
  <si>
    <t xml:space="preserve">Omiya Ardija</t>
  </si>
  <si>
    <t xml:space="preserve">Kataller Toyama</t>
  </si>
  <si>
    <t xml:space="preserve">2-2</t>
  </si>
  <si>
    <t xml:space="preserve">Toyama won 4 consecutive away matches</t>
  </si>
  <si>
    <t xml:space="preserve">Tochigi Uva</t>
  </si>
  <si>
    <t xml:space="preserve">Fujieda MYFC</t>
  </si>
  <si>
    <t xml:space="preserve">Fujieda: under 2.5 goals in last 5 matches</t>
  </si>
  <si>
    <t xml:space="preserve">Vegalta Sendai</t>
  </si>
  <si>
    <t xml:space="preserve">FC Imabari</t>
  </si>
  <si>
    <t xml:space="preserve">Sendai unbeaten in last 10 J2 matches</t>
  </si>
  <si>
    <t xml:space="preserve">Jp3</t>
  </si>
  <si>
    <t xml:space="preserve">Kagoshima United</t>
  </si>
  <si>
    <t xml:space="preserve">Kochi United SC</t>
  </si>
  <si>
    <t xml:space="preserve">4-0</t>
  </si>
  <si>
    <t xml:space="preserve">Kochi lost last 4 J3 matches by 2+ goals</t>
  </si>
  <si>
    <t xml:space="preserve">Roasso Kumamoto</t>
  </si>
  <si>
    <t xml:space="preserve">Gainare Tottori</t>
  </si>
  <si>
    <t xml:space="preserve">Tottori: last 3 matches under 2.5 goals</t>
  </si>
  <si>
    <t xml:space="preserve">Ehime FC</t>
  </si>
  <si>
    <t xml:space="preserve">Renofa Yamaguchi</t>
  </si>
  <si>
    <t xml:space="preserve">Renofa won 4 away matches in a row</t>
  </si>
  <si>
    <t xml:space="preserve">Kamatamare Sanuki</t>
  </si>
  <si>
    <t xml:space="preserve">Zweigen Kanazawa</t>
  </si>
  <si>
    <t xml:space="preserve">Kanazawa: last 4 away matches under 2.5 goals</t>
  </si>
  <si>
    <t xml:space="preserve">FC Osaka</t>
  </si>
  <si>
    <t xml:space="preserve">Nara Club</t>
  </si>
  <si>
    <t xml:space="preserve">0-1</t>
  </si>
  <si>
    <t xml:space="preserve">Nara Club won 6 matches in a row</t>
  </si>
  <si>
    <t xml:space="preserve">FC Gifu</t>
  </si>
  <si>
    <t xml:space="preserve">Sagamihara</t>
  </si>
  <si>
    <t xml:space="preserve">Gifu: under 2.5 goals in last 3 matches</t>
  </si>
  <si>
    <t xml:space="preserve">Matsumoto Yamaga</t>
  </si>
  <si>
    <t xml:space="preserve">Thespakusatsu</t>
  </si>
  <si>
    <t xml:space="preserve">Matsumoto failed to win 9 of last 11</t>
  </si>
  <si>
    <t xml:space="preserve">Banbueng City</t>
  </si>
  <si>
    <t xml:space="preserve">Chiangrai United</t>
  </si>
  <si>
    <t xml:space="preserve">2-1</t>
  </si>
  <si>
    <t xml:space="preserve">Kasetsart FC</t>
  </si>
  <si>
    <t xml:space="preserve">Chanthaburi</t>
  </si>
  <si>
    <t xml:space="preserve">12:30</t>
  </si>
  <si>
    <t xml:space="preserve">Urawa Red Diamonds</t>
  </si>
  <si>
    <t xml:space="preserve">JEF United Chiba</t>
  </si>
  <si>
    <t xml:space="preserve">Urawa unbeaten in last 6 home vs JEF</t>
  </si>
  <si>
    <t xml:space="preserve">13:00</t>
  </si>
  <si>
    <t xml:space="preserve">Az2</t>
  </si>
  <si>
    <t xml:space="preserve">Shahdagh Qusar</t>
  </si>
  <si>
    <t xml:space="preserve">Sebail FK</t>
  </si>
  <si>
    <t xml:space="preserve">Shahdagh unbeaten in 19 of last 22</t>
  </si>
  <si>
    <t xml:space="preserve">Xankəndi FK</t>
  </si>
  <si>
    <t xml:space="preserve">Energetik Mingachevir</t>
  </si>
  <si>
    <t xml:space="preserve">Energetik lost last 3 matches by 3 goals</t>
  </si>
  <si>
    <t xml:space="preserve">Phitsanulok FC</t>
  </si>
  <si>
    <t xml:space="preserve">Royal Thai Fleet</t>
  </si>
  <si>
    <t xml:space="preserve">Khon Kaen United</t>
  </si>
  <si>
    <t xml:space="preserve">Bangkok Glass</t>
  </si>
  <si>
    <t xml:space="preserve">Warin Chamrap</t>
  </si>
  <si>
    <t xml:space="preserve">Karin United</t>
  </si>
  <si>
    <t xml:space="preserve">Muhtasari</t>
  </si>
  <si>
    <t xml:space="preserve">Idadi ya mechi</t>
  </si>
  <si>
    <t xml:space="preserve">Utabiri: Home (1)</t>
  </si>
  <si>
    <t xml:space="preserve">Utabiri: Draw (X)</t>
  </si>
  <si>
    <t xml:space="preserve">Utabiri: Away (2)</t>
  </si>
  <si>
    <t xml:space="preserve">Wastani wa magoli (wote)</t>
  </si>
  <si>
    <t xml:space="preserve">Mechi zenye uhakika ≥ 60%</t>
  </si>
  <si>
    <t xml:space="preserve">Mechi zenye uhakika mkubwa (Uhakika wa Juu ≥ 55%) – zimepangwa kwa uhakika</t>
  </si>
  <si>
    <t xml:space="preserve">Nyumbani</t>
  </si>
  <si>
    <t xml:space="preserve">Ugenini</t>
  </si>
  <si>
    <t xml:space="preserve">Utabiri</t>
  </si>
  <si>
    <t xml:space="preserve">Uhakika %</t>
  </si>
  <si>
    <t xml:space="preserve">Matokeo yanayotabiriwa</t>
  </si>
  <si>
    <t xml:space="preserve">Odds ya utabiri (Decimal)</t>
  </si>
  <si>
    <t xml:space="preserve">Kuhusu Forebet</t>
  </si>
  <si>
    <t xml:space="preserve">Website: https://www.forebet.com – jukwaa huru la data na utabiri wa mpira linalotumia modeli za kihesabu na takwimu za historia (tangu 2009, ligi 850+).</t>
  </si>
  <si>
    <t xml:space="preserve">Ukurasa uliotumika: /en/football-tips-and-predictions-for-today (utabiri wa leo, 1X2). Jumla ya mechi za leo kwa mujibu wa site: 225; zilizopatikana hapa: 42.</t>
  </si>
  <si>
    <t xml:space="preserve">Sehemu nyingine muhimu kwenye site: Under/Over 2.5, BTTS, Half Time, HT/FT, Double Chance, Asian Handicap, Goalscorers, Corners, Cards, Values, Trends, Injured players, Team Comparison, Livescore, Lists (Africa n.k.).</t>
  </si>
  <si>
    <t xml:space="preserve">Maana ya safu</t>
  </si>
  <si>
    <t xml:space="preserve">Home Win % / Draw % / Away Win %: uwezekano uliokadiriwa na Forebet wa kila matokeo (jumla ni takriban 100; baadhi ni 99 au 101 kwa sababu ya rounding ya site).</t>
  </si>
  <si>
    <t xml:space="preserve">Utabiri (1/X/2): 1 = nyumbani ashinde, X = sare, 2 = ugenini ashinde.</t>
  </si>
  <si>
    <t xml:space="preserve">Odds: site ilionyesha odds kwa muundo wa American (+/-). Safu za Decimal zimekokotolewa kwa formula. Baadhi ya mechi hazina odds (tupu).</t>
  </si>
  <si>
    <t xml:space="preserve">Uhakika wa Juu %: asilimia kubwa kati ya tatu (formula). Kijani ≥ 60%, njano 50–59%.</t>
  </si>
  <si>
    <t xml:space="preserve">Nafasi Nyumbani/Ugenini: nafasi ya timu kwenye msimamo wa ligi (inapopatikana).</t>
  </si>
  <si>
    <t xml:space="preserve">Saa: kama zilivyoonyeshwa kwenye site (kwa timezone ya ukurasa; kwa kawaida ni ya mtumiaji, Tanzania UTC+3).</t>
  </si>
  <si>
    <t xml:space="preserve">Tahadhari</t>
  </si>
  <si>
    <t xml:space="preserve">Hizi ni makadirio ya kihesabu, si uhakika. Usizitumie kama ushauri wa kifedha/kubeti. Data ni ya tarehe 21/10/2026 saa 17:50 (EAT).</t>
  </si>
  <si>
    <t xml:space="preserve">Mechi 183 zilizobaki (kati ya 225) hazikuonekana kwa sababu ukurasa hupakia zaidi kwa kitufe cha 'More'. Nijulishe nikuongezee ligi mahususi (mf. CAF, UEFA, EPL).</t>
  </si>
  <si>
    <t xml:space="preserve">Misimbo ya ligi (Ligi)</t>
  </si>
  <si>
    <t xml:space="preserve">Czech U19 League</t>
  </si>
  <si>
    <t xml:space="preserve">Thailand (ThC)</t>
  </si>
  <si>
    <t xml:space="preserve">Romania Superliga Women</t>
  </si>
  <si>
    <t xml:space="preserve">Indonesia Liga 1</t>
  </si>
  <si>
    <t xml:space="preserve">Japan WE League (Women)</t>
  </si>
  <si>
    <t xml:space="preserve">Japan J1 League</t>
  </si>
  <si>
    <t xml:space="preserve">Japan J2 League</t>
  </si>
  <si>
    <t xml:space="preserve">Japan J3 League</t>
  </si>
  <si>
    <t xml:space="preserve">Azerbaijan I Liqa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</si>
</sst>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;\-0;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20" min="14" style="0" width="10"/>
    <col collapsed="false" customWidth="true" hidden="false" outlineLevel="0" max="22" min="21" style="0" width="9"/>
    <col collapsed="false" customWidth="true" hidden="false" outlineLevel="0" max="23" min="23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customFormat="false" ht="15" hidden="false" customHeight="false" outlineLevel="0" collapsed="false">
      <c r="A5" s="4" t="s">
        <v>25</v>
      </c>
      <c r="B5" s="4" t="s">
        <v>26</v>
      </c>
      <c r="C5" s="4" t="s">
        <v>27</v>
      </c>
      <c r="D5" s="5" t="str">
        <f aca="false">IFERROR(VLOOKUP(C5,Maelezo!$A$22:$B$30,2,FALSE()),C5)</f>
        <v>Czech U19 League</v>
      </c>
      <c r="E5" s="5" t="s">
        <v>28</v>
      </c>
      <c r="F5" s="5" t="s">
        <v>29</v>
      </c>
      <c r="G5" s="6" t="n">
        <v>25</v>
      </c>
      <c r="H5" s="6" t="n">
        <v>23</v>
      </c>
      <c r="I5" s="6" t="n">
        <v>52</v>
      </c>
      <c r="J5" s="6" t="s">
        <v>30</v>
      </c>
      <c r="K5" s="6" t="s">
        <v>31</v>
      </c>
      <c r="L5" s="7" t="n">
        <v>3.12</v>
      </c>
      <c r="M5" s="6" t="n">
        <v>41</v>
      </c>
      <c r="N5" s="8"/>
      <c r="O5" s="8"/>
      <c r="P5" s="8"/>
      <c r="Q5" s="9" t="str">
        <f aca="false">IF(N5="","",IF(N5&gt;0,ROUND(N5/100+1,2),ROUND(100/ABS(N5)+1,2)))</f>
        <v/>
      </c>
      <c r="R5" s="9" t="str">
        <f aca="false">IF(O5="","",IF(O5&gt;0,ROUND(O5/100+1,2),ROUND(100/ABS(O5)+1,2)))</f>
        <v/>
      </c>
      <c r="S5" s="9" t="str">
        <f aca="false">IF(P5="","",IF(P5&gt;0,ROUND(P5/100+1,2),ROUND(100/ABS(P5)+1,2)))</f>
        <v/>
      </c>
      <c r="T5" s="10" t="n">
        <f aca="false">MAX(G5:I5)</f>
        <v>52</v>
      </c>
      <c r="U5" s="6" t="n">
        <v>4</v>
      </c>
      <c r="V5" s="6" t="n">
        <v>6</v>
      </c>
      <c r="W5" s="5" t="s">
        <v>32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33</v>
      </c>
      <c r="D6" s="5" t="str">
        <f aca="false">IFERROR(VLOOKUP(C6,Maelezo!$A$22:$B$30,2,FALSE()),C6)</f>
        <v>Thailand (ThC)</v>
      </c>
      <c r="E6" s="5" t="s">
        <v>34</v>
      </c>
      <c r="F6" s="5" t="s">
        <v>35</v>
      </c>
      <c r="G6" s="6" t="n">
        <v>31</v>
      </c>
      <c r="H6" s="6" t="n">
        <v>37</v>
      </c>
      <c r="I6" s="6" t="n">
        <v>32</v>
      </c>
      <c r="J6" s="6" t="s">
        <v>36</v>
      </c>
      <c r="K6" s="6" t="s">
        <v>37</v>
      </c>
      <c r="L6" s="7" t="n">
        <v>2.46</v>
      </c>
      <c r="M6" s="6" t="n">
        <v>88</v>
      </c>
      <c r="N6" s="8" t="n">
        <v>-125</v>
      </c>
      <c r="O6" s="8" t="n">
        <v>300</v>
      </c>
      <c r="P6" s="8" t="n">
        <v>230</v>
      </c>
      <c r="Q6" s="9" t="n">
        <f aca="false">IF(N6="","",IF(N6&gt;0,ROUND(N6/100+1,2),ROUND(100/ABS(N6)+1,2)))</f>
        <v>1.8</v>
      </c>
      <c r="R6" s="9" t="n">
        <f aca="false">IF(O6="","",IF(O6&gt;0,ROUND(O6/100+1,2),ROUND(100/ABS(O6)+1,2)))</f>
        <v>4</v>
      </c>
      <c r="S6" s="9" t="n">
        <f aca="false">IF(P6="","",IF(P6&gt;0,ROUND(P6/100+1,2),ROUND(100/ABS(P6)+1,2)))</f>
        <v>3.3</v>
      </c>
      <c r="T6" s="10" t="n">
        <f aca="false">MAX(G6:I6)</f>
        <v>37</v>
      </c>
      <c r="U6" s="6"/>
      <c r="V6" s="6"/>
      <c r="W6" s="5"/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33</v>
      </c>
      <c r="D7" s="5" t="str">
        <f aca="false">IFERROR(VLOOKUP(C7,Maelezo!$A$22:$B$30,2,FALSE()),C7)</f>
        <v>Thailand (ThC)</v>
      </c>
      <c r="E7" s="5" t="s">
        <v>38</v>
      </c>
      <c r="F7" s="5" t="s">
        <v>39</v>
      </c>
      <c r="G7" s="6" t="n">
        <v>20</v>
      </c>
      <c r="H7" s="6" t="n">
        <v>39</v>
      </c>
      <c r="I7" s="6" t="n">
        <v>41</v>
      </c>
      <c r="J7" s="6" t="s">
        <v>30</v>
      </c>
      <c r="K7" s="6" t="s">
        <v>40</v>
      </c>
      <c r="L7" s="7" t="n">
        <v>2.67</v>
      </c>
      <c r="M7" s="6" t="n">
        <v>81</v>
      </c>
      <c r="N7" s="8" t="n">
        <v>750</v>
      </c>
      <c r="O7" s="8" t="n">
        <v>650</v>
      </c>
      <c r="P7" s="8" t="n">
        <v>-556</v>
      </c>
      <c r="Q7" s="9" t="n">
        <f aca="false">IF(N7="","",IF(N7&gt;0,ROUND(N7/100+1,2),ROUND(100/ABS(N7)+1,2)))</f>
        <v>8.5</v>
      </c>
      <c r="R7" s="9" t="n">
        <f aca="false">IF(O7="","",IF(O7&gt;0,ROUND(O7/100+1,2),ROUND(100/ABS(O7)+1,2)))</f>
        <v>7.5</v>
      </c>
      <c r="S7" s="9" t="n">
        <f aca="false">IF(P7="","",IF(P7&gt;0,ROUND(P7/100+1,2),ROUND(100/ABS(P7)+1,2)))</f>
        <v>1.18</v>
      </c>
      <c r="T7" s="10" t="n">
        <f aca="false">MAX(G7:I7)</f>
        <v>41</v>
      </c>
      <c r="U7" s="6"/>
      <c r="V7" s="6"/>
      <c r="W7" s="5"/>
    </row>
    <row r="8" customFormat="false" ht="15" hidden="false" customHeight="false" outlineLevel="0" collapsed="false">
      <c r="A8" s="4" t="s">
        <v>25</v>
      </c>
      <c r="B8" s="4" t="s">
        <v>26</v>
      </c>
      <c r="C8" s="4" t="s">
        <v>33</v>
      </c>
      <c r="D8" s="5" t="str">
        <f aca="false">IFERROR(VLOOKUP(C8,Maelezo!$A$22:$B$30,2,FALSE()),C8)</f>
        <v>Thailand (ThC)</v>
      </c>
      <c r="E8" s="5" t="s">
        <v>41</v>
      </c>
      <c r="F8" s="5" t="s">
        <v>42</v>
      </c>
      <c r="G8" s="6" t="n">
        <v>29</v>
      </c>
      <c r="H8" s="6" t="n">
        <v>35</v>
      </c>
      <c r="I8" s="6" t="n">
        <v>36</v>
      </c>
      <c r="J8" s="6" t="s">
        <v>30</v>
      </c>
      <c r="K8" s="6" t="s">
        <v>43</v>
      </c>
      <c r="L8" s="7" t="n">
        <v>2.05</v>
      </c>
      <c r="M8" s="6" t="n">
        <v>88</v>
      </c>
      <c r="N8" s="8" t="n">
        <v>-149</v>
      </c>
      <c r="O8" s="8" t="n">
        <v>275</v>
      </c>
      <c r="P8" s="8" t="n">
        <v>400</v>
      </c>
      <c r="Q8" s="9" t="n">
        <f aca="false">IF(N8="","",IF(N8&gt;0,ROUND(N8/100+1,2),ROUND(100/ABS(N8)+1,2)))</f>
        <v>1.67</v>
      </c>
      <c r="R8" s="9" t="n">
        <f aca="false">IF(O8="","",IF(O8&gt;0,ROUND(O8/100+1,2),ROUND(100/ABS(O8)+1,2)))</f>
        <v>3.75</v>
      </c>
      <c r="S8" s="9" t="n">
        <f aca="false">IF(P8="","",IF(P8&gt;0,ROUND(P8/100+1,2),ROUND(100/ABS(P8)+1,2)))</f>
        <v>5</v>
      </c>
      <c r="T8" s="10" t="n">
        <f aca="false">MAX(G8:I8)</f>
        <v>36</v>
      </c>
      <c r="U8" s="6"/>
      <c r="V8" s="6"/>
      <c r="W8" s="5"/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44</v>
      </c>
      <c r="D9" s="5" t="str">
        <f aca="false">IFERROR(VLOOKUP(C9,Maelezo!$A$22:$B$30,2,FALSE()),C9)</f>
        <v>Romania Superliga Women</v>
      </c>
      <c r="E9" s="5" t="s">
        <v>45</v>
      </c>
      <c r="F9" s="5" t="s">
        <v>46</v>
      </c>
      <c r="G9" s="6" t="n">
        <v>32</v>
      </c>
      <c r="H9" s="6" t="n">
        <v>27</v>
      </c>
      <c r="I9" s="6" t="n">
        <v>41</v>
      </c>
      <c r="J9" s="6" t="s">
        <v>30</v>
      </c>
      <c r="K9" s="6" t="s">
        <v>47</v>
      </c>
      <c r="L9" s="7" t="n">
        <v>4.54</v>
      </c>
      <c r="M9" s="6" t="n">
        <v>59</v>
      </c>
      <c r="N9" s="8" t="n">
        <v>-154</v>
      </c>
      <c r="O9" s="8" t="n">
        <v>300</v>
      </c>
      <c r="P9" s="8" t="n">
        <v>280</v>
      </c>
      <c r="Q9" s="9" t="n">
        <f aca="false">IF(N9="","",IF(N9&gt;0,ROUND(N9/100+1,2),ROUND(100/ABS(N9)+1,2)))</f>
        <v>1.65</v>
      </c>
      <c r="R9" s="9" t="n">
        <f aca="false">IF(O9="","",IF(O9&gt;0,ROUND(O9/100+1,2),ROUND(100/ABS(O9)+1,2)))</f>
        <v>4</v>
      </c>
      <c r="S9" s="9" t="n">
        <f aca="false">IF(P9="","",IF(P9&gt;0,ROUND(P9/100+1,2),ROUND(100/ABS(P9)+1,2)))</f>
        <v>3.8</v>
      </c>
      <c r="T9" s="10" t="n">
        <f aca="false">MAX(G9:I9)</f>
        <v>41</v>
      </c>
      <c r="U9" s="6" t="n">
        <v>2</v>
      </c>
      <c r="V9" s="6" t="n">
        <v>1</v>
      </c>
      <c r="W9" s="5" t="s">
        <v>48</v>
      </c>
    </row>
    <row r="10" customFormat="false" ht="15" hidden="false" customHeight="false" outlineLevel="0" collapsed="false">
      <c r="A10" s="4" t="s">
        <v>25</v>
      </c>
      <c r="B10" s="4" t="s">
        <v>26</v>
      </c>
      <c r="C10" s="4" t="s">
        <v>44</v>
      </c>
      <c r="D10" s="5" t="str">
        <f aca="false">IFERROR(VLOOKUP(C10,Maelezo!$A$22:$B$30,2,FALSE()),C10)</f>
        <v>Romania Superliga Women</v>
      </c>
      <c r="E10" s="5" t="s">
        <v>49</v>
      </c>
      <c r="F10" s="5" t="s">
        <v>50</v>
      </c>
      <c r="G10" s="6" t="n">
        <v>17</v>
      </c>
      <c r="H10" s="6" t="n">
        <v>13</v>
      </c>
      <c r="I10" s="6" t="n">
        <v>70</v>
      </c>
      <c r="J10" s="6" t="s">
        <v>30</v>
      </c>
      <c r="K10" s="6" t="s">
        <v>51</v>
      </c>
      <c r="L10" s="7" t="n">
        <v>7.5</v>
      </c>
      <c r="M10" s="6" t="n">
        <v>59</v>
      </c>
      <c r="N10" s="8" t="n">
        <v>4000</v>
      </c>
      <c r="O10" s="8" t="n">
        <v>2000</v>
      </c>
      <c r="P10" s="8" t="n">
        <v>-5000</v>
      </c>
      <c r="Q10" s="9" t="n">
        <f aca="false">IF(N10="","",IF(N10&gt;0,ROUND(N10/100+1,2),ROUND(100/ABS(N10)+1,2)))</f>
        <v>41</v>
      </c>
      <c r="R10" s="9" t="n">
        <f aca="false">IF(O10="","",IF(O10&gt;0,ROUND(O10/100+1,2),ROUND(100/ABS(O10)+1,2)))</f>
        <v>21</v>
      </c>
      <c r="S10" s="9" t="n">
        <f aca="false">IF(P10="","",IF(P10&gt;0,ROUND(P10/100+1,2),ROUND(100/ABS(P10)+1,2)))</f>
        <v>1.02</v>
      </c>
      <c r="T10" s="10" t="n">
        <f aca="false">MAX(G10:I10)</f>
        <v>70</v>
      </c>
      <c r="U10" s="6" t="n">
        <v>6</v>
      </c>
      <c r="V10" s="6" t="n">
        <v>3</v>
      </c>
      <c r="W10" s="5" t="s">
        <v>52</v>
      </c>
    </row>
    <row r="11" customFormat="false" ht="15" hidden="false" customHeight="false" outlineLevel="0" collapsed="false">
      <c r="A11" s="4" t="s">
        <v>25</v>
      </c>
      <c r="B11" s="4" t="s">
        <v>26</v>
      </c>
      <c r="C11" s="4" t="s">
        <v>44</v>
      </c>
      <c r="D11" s="5" t="str">
        <f aca="false">IFERROR(VLOOKUP(C11,Maelezo!$A$22:$B$30,2,FALSE()),C11)</f>
        <v>Romania Superliga Women</v>
      </c>
      <c r="E11" s="5" t="s">
        <v>53</v>
      </c>
      <c r="F11" s="5" t="s">
        <v>54</v>
      </c>
      <c r="G11" s="6" t="n">
        <v>67</v>
      </c>
      <c r="H11" s="6" t="n">
        <v>16</v>
      </c>
      <c r="I11" s="6" t="n">
        <v>17</v>
      </c>
      <c r="J11" s="6" t="s">
        <v>55</v>
      </c>
      <c r="K11" s="6" t="s">
        <v>56</v>
      </c>
      <c r="L11" s="7" t="n">
        <v>8.75</v>
      </c>
      <c r="M11" s="6" t="n">
        <v>68</v>
      </c>
      <c r="N11" s="8" t="n">
        <v>155</v>
      </c>
      <c r="O11" s="8" t="n">
        <v>225</v>
      </c>
      <c r="P11" s="8" t="n">
        <v>150</v>
      </c>
      <c r="Q11" s="9" t="n">
        <f aca="false">IF(N11="","",IF(N11&gt;0,ROUND(N11/100+1,2),ROUND(100/ABS(N11)+1,2)))</f>
        <v>2.55</v>
      </c>
      <c r="R11" s="9" t="n">
        <f aca="false">IF(O11="","",IF(O11&gt;0,ROUND(O11/100+1,2),ROUND(100/ABS(O11)+1,2)))</f>
        <v>3.25</v>
      </c>
      <c r="S11" s="9" t="n">
        <f aca="false">IF(P11="","",IF(P11&gt;0,ROUND(P11/100+1,2),ROUND(100/ABS(P11)+1,2)))</f>
        <v>2.5</v>
      </c>
      <c r="T11" s="10" t="n">
        <f aca="false">MAX(G11:I11)</f>
        <v>67</v>
      </c>
      <c r="U11" s="6" t="n">
        <v>5</v>
      </c>
      <c r="V11" s="6" t="n">
        <v>7</v>
      </c>
      <c r="W11" s="5" t="s">
        <v>57</v>
      </c>
    </row>
    <row r="12" customFormat="false" ht="15" hidden="false" customHeight="false" outlineLevel="0" collapsed="false">
      <c r="A12" s="4" t="s">
        <v>25</v>
      </c>
      <c r="B12" s="4" t="s">
        <v>58</v>
      </c>
      <c r="C12" s="4" t="s">
        <v>59</v>
      </c>
      <c r="D12" s="5" t="str">
        <f aca="false">IFERROR(VLOOKUP(C12,Maelezo!$A$22:$B$30,2,FALSE()),C12)</f>
        <v>Indonesia Liga 1</v>
      </c>
      <c r="E12" s="5" t="s">
        <v>60</v>
      </c>
      <c r="F12" s="5" t="s">
        <v>61</v>
      </c>
      <c r="G12" s="6" t="n">
        <v>41</v>
      </c>
      <c r="H12" s="6" t="n">
        <v>34</v>
      </c>
      <c r="I12" s="6" t="n">
        <v>25</v>
      </c>
      <c r="J12" s="6" t="s">
        <v>55</v>
      </c>
      <c r="K12" s="6" t="s">
        <v>62</v>
      </c>
      <c r="L12" s="7" t="n">
        <v>2.13</v>
      </c>
      <c r="M12" s="6" t="n">
        <v>93</v>
      </c>
      <c r="N12" s="8" t="n">
        <v>-208</v>
      </c>
      <c r="O12" s="8" t="n">
        <v>300</v>
      </c>
      <c r="P12" s="8" t="n">
        <v>400</v>
      </c>
      <c r="Q12" s="9" t="n">
        <f aca="false">IF(N12="","",IF(N12&gt;0,ROUND(N12/100+1,2),ROUND(100/ABS(N12)+1,2)))</f>
        <v>1.48</v>
      </c>
      <c r="R12" s="9" t="n">
        <f aca="false">IF(O12="","",IF(O12&gt;0,ROUND(O12/100+1,2),ROUND(100/ABS(O12)+1,2)))</f>
        <v>4</v>
      </c>
      <c r="S12" s="9" t="n">
        <f aca="false">IF(P12="","",IF(P12&gt;0,ROUND(P12/100+1,2),ROUND(100/ABS(P12)+1,2)))</f>
        <v>5</v>
      </c>
      <c r="T12" s="10" t="n">
        <f aca="false">MAX(G12:I12)</f>
        <v>41</v>
      </c>
      <c r="U12" s="6" t="n">
        <v>7</v>
      </c>
      <c r="V12" s="6" t="n">
        <v>13</v>
      </c>
      <c r="W12" s="5" t="s">
        <v>63</v>
      </c>
    </row>
    <row r="13" customFormat="false" ht="15" hidden="false" customHeight="false" outlineLevel="0" collapsed="false">
      <c r="A13" s="4" t="s">
        <v>25</v>
      </c>
      <c r="B13" s="4" t="s">
        <v>64</v>
      </c>
      <c r="C13" s="4" t="s">
        <v>65</v>
      </c>
      <c r="D13" s="5" t="str">
        <f aca="false">IFERROR(VLOOKUP(C13,Maelezo!$A$22:$B$30,2,FALSE()),C13)</f>
        <v>Japan WE League (Women)</v>
      </c>
      <c r="E13" s="5" t="s">
        <v>66</v>
      </c>
      <c r="F13" s="5" t="s">
        <v>67</v>
      </c>
      <c r="G13" s="6" t="n">
        <v>25</v>
      </c>
      <c r="H13" s="6" t="n">
        <v>40</v>
      </c>
      <c r="I13" s="6" t="n">
        <v>36</v>
      </c>
      <c r="J13" s="6" t="s">
        <v>36</v>
      </c>
      <c r="K13" s="6" t="s">
        <v>68</v>
      </c>
      <c r="L13" s="7" t="n">
        <v>2.04</v>
      </c>
      <c r="M13" s="6" t="n">
        <v>79</v>
      </c>
      <c r="N13" s="8"/>
      <c r="O13" s="8"/>
      <c r="P13" s="8"/>
      <c r="Q13" s="9" t="str">
        <f aca="false">IF(N13="","",IF(N13&gt;0,ROUND(N13/100+1,2),ROUND(100/ABS(N13)+1,2)))</f>
        <v/>
      </c>
      <c r="R13" s="9" t="str">
        <f aca="false">IF(O13="","",IF(O13&gt;0,ROUND(O13/100+1,2),ROUND(100/ABS(O13)+1,2)))</f>
        <v/>
      </c>
      <c r="S13" s="9" t="str">
        <f aca="false">IF(P13="","",IF(P13&gt;0,ROUND(P13/100+1,2),ROUND(100/ABS(P13)+1,2)))</f>
        <v/>
      </c>
      <c r="T13" s="10" t="n">
        <f aca="false">MAX(G13:I13)</f>
        <v>40</v>
      </c>
      <c r="U13" s="6" t="n">
        <v>10</v>
      </c>
      <c r="V13" s="6" t="n">
        <v>9</v>
      </c>
      <c r="W13" s="5" t="s">
        <v>69</v>
      </c>
    </row>
    <row r="14" customFormat="false" ht="15" hidden="false" customHeight="false" outlineLevel="0" collapsed="false">
      <c r="A14" s="4" t="s">
        <v>25</v>
      </c>
      <c r="B14" s="4" t="s">
        <v>70</v>
      </c>
      <c r="C14" s="4" t="s">
        <v>71</v>
      </c>
      <c r="D14" s="5" t="str">
        <f aca="false">IFERROR(VLOOKUP(C14,Maelezo!$A$22:$B$30,2,FALSE()),C14)</f>
        <v>Japan J1 League</v>
      </c>
      <c r="E14" s="5" t="s">
        <v>72</v>
      </c>
      <c r="F14" s="5" t="s">
        <v>73</v>
      </c>
      <c r="G14" s="6" t="n">
        <v>15</v>
      </c>
      <c r="H14" s="6" t="n">
        <v>16</v>
      </c>
      <c r="I14" s="6" t="n">
        <v>69</v>
      </c>
      <c r="J14" s="6" t="s">
        <v>30</v>
      </c>
      <c r="K14" s="6" t="s">
        <v>43</v>
      </c>
      <c r="L14" s="7" t="n">
        <v>2.13</v>
      </c>
      <c r="M14" s="6" t="n">
        <v>75</v>
      </c>
      <c r="N14" s="8" t="n">
        <v>500</v>
      </c>
      <c r="O14" s="8" t="n">
        <v>375</v>
      </c>
      <c r="P14" s="8" t="n">
        <v>-222</v>
      </c>
      <c r="Q14" s="9" t="n">
        <f aca="false">IF(N14="","",IF(N14&gt;0,ROUND(N14/100+1,2),ROUND(100/ABS(N14)+1,2)))</f>
        <v>6</v>
      </c>
      <c r="R14" s="9" t="n">
        <f aca="false">IF(O14="","",IF(O14&gt;0,ROUND(O14/100+1,2),ROUND(100/ABS(O14)+1,2)))</f>
        <v>4.75</v>
      </c>
      <c r="S14" s="9" t="n">
        <f aca="false">IF(P14="","",IF(P14&gt;0,ROUND(P14/100+1,2),ROUND(100/ABS(P14)+1,2)))</f>
        <v>1.45</v>
      </c>
      <c r="T14" s="10" t="n">
        <f aca="false">MAX(G14:I14)</f>
        <v>69</v>
      </c>
      <c r="U14" s="6" t="n">
        <v>15</v>
      </c>
      <c r="V14" s="6" t="n">
        <v>1</v>
      </c>
      <c r="W14" s="5" t="s">
        <v>74</v>
      </c>
    </row>
    <row r="15" customFormat="false" ht="15" hidden="false" customHeight="false" outlineLevel="0" collapsed="false">
      <c r="A15" s="4" t="s">
        <v>25</v>
      </c>
      <c r="B15" s="4" t="s">
        <v>70</v>
      </c>
      <c r="C15" s="4" t="s">
        <v>71</v>
      </c>
      <c r="D15" s="5" t="str">
        <f aca="false">IFERROR(VLOOKUP(C15,Maelezo!$A$22:$B$30,2,FALSE()),C15)</f>
        <v>Japan J1 League</v>
      </c>
      <c r="E15" s="5" t="s">
        <v>75</v>
      </c>
      <c r="F15" s="5" t="s">
        <v>76</v>
      </c>
      <c r="G15" s="6" t="n">
        <v>40</v>
      </c>
      <c r="H15" s="6" t="n">
        <v>39</v>
      </c>
      <c r="I15" s="6" t="n">
        <v>21</v>
      </c>
      <c r="J15" s="6" t="s">
        <v>55</v>
      </c>
      <c r="K15" s="6" t="s">
        <v>62</v>
      </c>
      <c r="L15" s="7" t="n">
        <v>2.48</v>
      </c>
      <c r="M15" s="6" t="n">
        <v>68</v>
      </c>
      <c r="N15" s="8" t="n">
        <v>160</v>
      </c>
      <c r="O15" s="8" t="n">
        <v>225</v>
      </c>
      <c r="P15" s="8" t="n">
        <v>170</v>
      </c>
      <c r="Q15" s="9" t="n">
        <f aca="false">IF(N15="","",IF(N15&gt;0,ROUND(N15/100+1,2),ROUND(100/ABS(N15)+1,2)))</f>
        <v>2.6</v>
      </c>
      <c r="R15" s="9" t="n">
        <f aca="false">IF(O15="","",IF(O15&gt;0,ROUND(O15/100+1,2),ROUND(100/ABS(O15)+1,2)))</f>
        <v>3.25</v>
      </c>
      <c r="S15" s="9" t="n">
        <f aca="false">IF(P15="","",IF(P15&gt;0,ROUND(P15/100+1,2),ROUND(100/ABS(P15)+1,2)))</f>
        <v>2.7</v>
      </c>
      <c r="T15" s="10" t="n">
        <f aca="false">MAX(G15:I15)</f>
        <v>40</v>
      </c>
      <c r="U15" s="6" t="n">
        <v>17</v>
      </c>
      <c r="V15" s="6" t="n">
        <v>18</v>
      </c>
      <c r="W15" s="5" t="s">
        <v>77</v>
      </c>
    </row>
    <row r="16" customFormat="false" ht="15" hidden="false" customHeight="false" outlineLevel="0" collapsed="false">
      <c r="A16" s="4" t="s">
        <v>25</v>
      </c>
      <c r="B16" s="4" t="s">
        <v>70</v>
      </c>
      <c r="C16" s="4" t="s">
        <v>71</v>
      </c>
      <c r="D16" s="5" t="str">
        <f aca="false">IFERROR(VLOOKUP(C16,Maelezo!$A$22:$B$30,2,FALSE()),C16)</f>
        <v>Japan J1 League</v>
      </c>
      <c r="E16" s="5" t="s">
        <v>78</v>
      </c>
      <c r="F16" s="5" t="s">
        <v>79</v>
      </c>
      <c r="G16" s="6" t="n">
        <v>40</v>
      </c>
      <c r="H16" s="6" t="n">
        <v>35</v>
      </c>
      <c r="I16" s="6" t="n">
        <v>25</v>
      </c>
      <c r="J16" s="6" t="s">
        <v>55</v>
      </c>
      <c r="K16" s="6" t="s">
        <v>62</v>
      </c>
      <c r="L16" s="7" t="n">
        <v>2.41</v>
      </c>
      <c r="M16" s="6" t="n">
        <v>73</v>
      </c>
      <c r="N16" s="8" t="n">
        <v>-133</v>
      </c>
      <c r="O16" s="8" t="n">
        <v>260</v>
      </c>
      <c r="P16" s="8" t="n">
        <v>350</v>
      </c>
      <c r="Q16" s="9" t="n">
        <f aca="false">IF(N16="","",IF(N16&gt;0,ROUND(N16/100+1,2),ROUND(100/ABS(N16)+1,2)))</f>
        <v>1.75</v>
      </c>
      <c r="R16" s="9" t="n">
        <f aca="false">IF(O16="","",IF(O16&gt;0,ROUND(O16/100+1,2),ROUND(100/ABS(O16)+1,2)))</f>
        <v>3.6</v>
      </c>
      <c r="S16" s="9" t="n">
        <f aca="false">IF(P16="","",IF(P16&gt;0,ROUND(P16/100+1,2),ROUND(100/ABS(P16)+1,2)))</f>
        <v>4.5</v>
      </c>
      <c r="T16" s="10" t="n">
        <f aca="false">MAX(G16:I16)</f>
        <v>40</v>
      </c>
      <c r="U16" s="6" t="n">
        <v>11</v>
      </c>
      <c r="V16" s="6" t="n">
        <v>14</v>
      </c>
      <c r="W16" s="5" t="s">
        <v>80</v>
      </c>
    </row>
    <row r="17" customFormat="false" ht="15" hidden="false" customHeight="false" outlineLevel="0" collapsed="false">
      <c r="A17" s="4" t="s">
        <v>25</v>
      </c>
      <c r="B17" s="4" t="s">
        <v>70</v>
      </c>
      <c r="C17" s="4" t="s">
        <v>71</v>
      </c>
      <c r="D17" s="5" t="str">
        <f aca="false">IFERROR(VLOOKUP(C17,Maelezo!$A$22:$B$30,2,FALSE()),C17)</f>
        <v>Japan J1 League</v>
      </c>
      <c r="E17" s="5" t="s">
        <v>81</v>
      </c>
      <c r="F17" s="5" t="s">
        <v>82</v>
      </c>
      <c r="G17" s="6" t="n">
        <v>24</v>
      </c>
      <c r="H17" s="6" t="n">
        <v>26</v>
      </c>
      <c r="I17" s="6" t="n">
        <v>50</v>
      </c>
      <c r="J17" s="6" t="s">
        <v>30</v>
      </c>
      <c r="K17" s="6" t="s">
        <v>83</v>
      </c>
      <c r="L17" s="7" t="n">
        <v>2.94</v>
      </c>
      <c r="M17" s="6" t="n">
        <v>79</v>
      </c>
      <c r="N17" s="8" t="n">
        <v>270</v>
      </c>
      <c r="O17" s="8" t="n">
        <v>260</v>
      </c>
      <c r="P17" s="8" t="n">
        <v>-105</v>
      </c>
      <c r="Q17" s="9" t="n">
        <f aca="false">IF(N17="","",IF(N17&gt;0,ROUND(N17/100+1,2),ROUND(100/ABS(N17)+1,2)))</f>
        <v>3.7</v>
      </c>
      <c r="R17" s="9" t="n">
        <f aca="false">IF(O17="","",IF(O17&gt;0,ROUND(O17/100+1,2),ROUND(100/ABS(O17)+1,2)))</f>
        <v>3.6</v>
      </c>
      <c r="S17" s="9" t="n">
        <f aca="false">IF(P17="","",IF(P17&gt;0,ROUND(P17/100+1,2),ROUND(100/ABS(P17)+1,2)))</f>
        <v>1.95</v>
      </c>
      <c r="T17" s="10" t="n">
        <f aca="false">MAX(G17:I17)</f>
        <v>50</v>
      </c>
      <c r="U17" s="6" t="n">
        <v>16</v>
      </c>
      <c r="V17" s="6" t="n">
        <v>6</v>
      </c>
      <c r="W17" s="5" t="s">
        <v>84</v>
      </c>
    </row>
    <row r="18" customFormat="false" ht="15" hidden="false" customHeight="false" outlineLevel="0" collapsed="false">
      <c r="A18" s="4" t="s">
        <v>25</v>
      </c>
      <c r="B18" s="4" t="s">
        <v>70</v>
      </c>
      <c r="C18" s="4" t="s">
        <v>71</v>
      </c>
      <c r="D18" s="5" t="str">
        <f aca="false">IFERROR(VLOOKUP(C18,Maelezo!$A$22:$B$30,2,FALSE()),C18)</f>
        <v>Japan J1 League</v>
      </c>
      <c r="E18" s="5" t="s">
        <v>85</v>
      </c>
      <c r="F18" s="5" t="s">
        <v>86</v>
      </c>
      <c r="G18" s="6" t="n">
        <v>42</v>
      </c>
      <c r="H18" s="6" t="n">
        <v>40</v>
      </c>
      <c r="I18" s="6" t="n">
        <v>18</v>
      </c>
      <c r="J18" s="6" t="s">
        <v>55</v>
      </c>
      <c r="K18" s="6" t="s">
        <v>87</v>
      </c>
      <c r="L18" s="7" t="n">
        <v>3.5</v>
      </c>
      <c r="M18" s="6" t="n">
        <v>77</v>
      </c>
      <c r="N18" s="8" t="n">
        <v>125</v>
      </c>
      <c r="O18" s="8" t="n">
        <v>250</v>
      </c>
      <c r="P18" s="8" t="n">
        <v>190</v>
      </c>
      <c r="Q18" s="9" t="n">
        <f aca="false">IF(N18="","",IF(N18&gt;0,ROUND(N18/100+1,2),ROUND(100/ABS(N18)+1,2)))</f>
        <v>2.25</v>
      </c>
      <c r="R18" s="9" t="n">
        <f aca="false">IF(O18="","",IF(O18&gt;0,ROUND(O18/100+1,2),ROUND(100/ABS(O18)+1,2)))</f>
        <v>3.5</v>
      </c>
      <c r="S18" s="9" t="n">
        <f aca="false">IF(P18="","",IF(P18&gt;0,ROUND(P18/100+1,2),ROUND(100/ABS(P18)+1,2)))</f>
        <v>2.9</v>
      </c>
      <c r="T18" s="10" t="n">
        <f aca="false">MAX(G18:I18)</f>
        <v>42</v>
      </c>
      <c r="U18" s="6" t="n">
        <v>12</v>
      </c>
      <c r="V18" s="6" t="n">
        <v>13</v>
      </c>
      <c r="W18" s="5" t="s">
        <v>88</v>
      </c>
    </row>
    <row r="19" customFormat="false" ht="15" hidden="false" customHeight="false" outlineLevel="0" collapsed="false">
      <c r="A19" s="4" t="s">
        <v>25</v>
      </c>
      <c r="B19" s="4" t="s">
        <v>70</v>
      </c>
      <c r="C19" s="4" t="s">
        <v>71</v>
      </c>
      <c r="D19" s="5" t="str">
        <f aca="false">IFERROR(VLOOKUP(C19,Maelezo!$A$22:$B$30,2,FALSE()),C19)</f>
        <v>Japan J1 League</v>
      </c>
      <c r="E19" s="5" t="s">
        <v>89</v>
      </c>
      <c r="F19" s="5" t="s">
        <v>90</v>
      </c>
      <c r="G19" s="6" t="n">
        <v>23</v>
      </c>
      <c r="H19" s="6" t="n">
        <v>28</v>
      </c>
      <c r="I19" s="6" t="n">
        <v>49</v>
      </c>
      <c r="J19" s="6" t="s">
        <v>30</v>
      </c>
      <c r="K19" s="6" t="s">
        <v>91</v>
      </c>
      <c r="L19" s="7" t="n">
        <v>2.79</v>
      </c>
      <c r="M19" s="6" t="n">
        <v>61</v>
      </c>
      <c r="N19" s="8" t="n">
        <v>260</v>
      </c>
      <c r="O19" s="8" t="n">
        <v>225</v>
      </c>
      <c r="P19" s="8" t="n">
        <v>110</v>
      </c>
      <c r="Q19" s="9" t="n">
        <f aca="false">IF(N19="","",IF(N19&gt;0,ROUND(N19/100+1,2),ROUND(100/ABS(N19)+1,2)))</f>
        <v>3.6</v>
      </c>
      <c r="R19" s="9" t="n">
        <f aca="false">IF(O19="","",IF(O19&gt;0,ROUND(O19/100+1,2),ROUND(100/ABS(O19)+1,2)))</f>
        <v>3.25</v>
      </c>
      <c r="S19" s="9" t="n">
        <f aca="false">IF(P19="","",IF(P19&gt;0,ROUND(P19/100+1,2),ROUND(100/ABS(P19)+1,2)))</f>
        <v>2.1</v>
      </c>
      <c r="T19" s="10" t="n">
        <f aca="false">MAX(G19:I19)</f>
        <v>49</v>
      </c>
      <c r="U19" s="6" t="n">
        <v>10</v>
      </c>
      <c r="V19" s="6" t="n">
        <v>2</v>
      </c>
      <c r="W19" s="5" t="s">
        <v>92</v>
      </c>
    </row>
    <row r="20" customFormat="false" ht="15" hidden="false" customHeight="false" outlineLevel="0" collapsed="false">
      <c r="A20" s="4" t="s">
        <v>25</v>
      </c>
      <c r="B20" s="4" t="s">
        <v>70</v>
      </c>
      <c r="C20" s="4" t="s">
        <v>71</v>
      </c>
      <c r="D20" s="5" t="str">
        <f aca="false">IFERROR(VLOOKUP(C20,Maelezo!$A$22:$B$30,2,FALSE()),C20)</f>
        <v>Japan J1 League</v>
      </c>
      <c r="E20" s="5" t="s">
        <v>93</v>
      </c>
      <c r="F20" s="5" t="s">
        <v>94</v>
      </c>
      <c r="G20" s="6" t="n">
        <v>54</v>
      </c>
      <c r="H20" s="6" t="n">
        <v>33</v>
      </c>
      <c r="I20" s="6" t="n">
        <v>13</v>
      </c>
      <c r="J20" s="6" t="s">
        <v>55</v>
      </c>
      <c r="K20" s="6" t="s">
        <v>95</v>
      </c>
      <c r="L20" s="7" t="n">
        <v>2.95</v>
      </c>
      <c r="M20" s="6" t="n">
        <v>81</v>
      </c>
      <c r="N20" s="8" t="n">
        <v>-118</v>
      </c>
      <c r="O20" s="8" t="n">
        <v>250</v>
      </c>
      <c r="P20" s="8" t="n">
        <v>320</v>
      </c>
      <c r="Q20" s="9" t="n">
        <f aca="false">IF(N20="","",IF(N20&gt;0,ROUND(N20/100+1,2),ROUND(100/ABS(N20)+1,2)))</f>
        <v>1.85</v>
      </c>
      <c r="R20" s="9" t="n">
        <f aca="false">IF(O20="","",IF(O20&gt;0,ROUND(O20/100+1,2),ROUND(100/ABS(O20)+1,2)))</f>
        <v>3.5</v>
      </c>
      <c r="S20" s="9" t="n">
        <f aca="false">IF(P20="","",IF(P20&gt;0,ROUND(P20/100+1,2),ROUND(100/ABS(P20)+1,2)))</f>
        <v>4.2</v>
      </c>
      <c r="T20" s="10" t="n">
        <f aca="false">MAX(G20:I20)</f>
        <v>54</v>
      </c>
      <c r="U20" s="6" t="n">
        <v>8</v>
      </c>
      <c r="V20" s="6" t="n">
        <v>20</v>
      </c>
      <c r="W20" s="5" t="s">
        <v>96</v>
      </c>
    </row>
    <row r="21" customFormat="false" ht="15" hidden="false" customHeight="false" outlineLevel="0" collapsed="false">
      <c r="A21" s="4" t="s">
        <v>25</v>
      </c>
      <c r="B21" s="4" t="s">
        <v>70</v>
      </c>
      <c r="C21" s="4" t="s">
        <v>71</v>
      </c>
      <c r="D21" s="5" t="str">
        <f aca="false">IFERROR(VLOOKUP(C21,Maelezo!$A$22:$B$30,2,FALSE()),C21)</f>
        <v>Japan J1 League</v>
      </c>
      <c r="E21" s="5" t="s">
        <v>97</v>
      </c>
      <c r="F21" s="5" t="s">
        <v>98</v>
      </c>
      <c r="G21" s="6" t="n">
        <v>28</v>
      </c>
      <c r="H21" s="6" t="n">
        <v>29</v>
      </c>
      <c r="I21" s="6" t="n">
        <v>43</v>
      </c>
      <c r="J21" s="6" t="s">
        <v>30</v>
      </c>
      <c r="K21" s="6" t="s">
        <v>83</v>
      </c>
      <c r="L21" s="7" t="n">
        <v>3.55</v>
      </c>
      <c r="M21" s="6" t="n">
        <v>79</v>
      </c>
      <c r="N21" s="8" t="n">
        <v>130</v>
      </c>
      <c r="O21" s="8" t="n">
        <v>250</v>
      </c>
      <c r="P21" s="8" t="n">
        <v>188</v>
      </c>
      <c r="Q21" s="9" t="n">
        <f aca="false">IF(N21="","",IF(N21&gt;0,ROUND(N21/100+1,2),ROUND(100/ABS(N21)+1,2)))</f>
        <v>2.3</v>
      </c>
      <c r="R21" s="9" t="n">
        <f aca="false">IF(O21="","",IF(O21&gt;0,ROUND(O21/100+1,2),ROUND(100/ABS(O21)+1,2)))</f>
        <v>3.5</v>
      </c>
      <c r="S21" s="9" t="n">
        <f aca="false">IF(P21="","",IF(P21&gt;0,ROUND(P21/100+1,2),ROUND(100/ABS(P21)+1,2)))</f>
        <v>2.88</v>
      </c>
      <c r="T21" s="10" t="n">
        <f aca="false">MAX(G21:I21)</f>
        <v>43</v>
      </c>
      <c r="U21" s="6" t="n">
        <v>7</v>
      </c>
      <c r="V21" s="6" t="n">
        <v>4</v>
      </c>
      <c r="W21" s="5" t="s">
        <v>99</v>
      </c>
    </row>
    <row r="22" customFormat="false" ht="15" hidden="false" customHeight="false" outlineLevel="0" collapsed="false">
      <c r="A22" s="4" t="s">
        <v>25</v>
      </c>
      <c r="B22" s="4" t="s">
        <v>70</v>
      </c>
      <c r="C22" s="4" t="s">
        <v>71</v>
      </c>
      <c r="D22" s="5" t="str">
        <f aca="false">IFERROR(VLOOKUP(C22,Maelezo!$A$22:$B$30,2,FALSE()),C22)</f>
        <v>Japan J1 League</v>
      </c>
      <c r="E22" s="5" t="s">
        <v>100</v>
      </c>
      <c r="F22" s="5" t="s">
        <v>101</v>
      </c>
      <c r="G22" s="6" t="n">
        <v>36</v>
      </c>
      <c r="H22" s="6" t="n">
        <v>24</v>
      </c>
      <c r="I22" s="6" t="n">
        <v>40</v>
      </c>
      <c r="J22" s="6" t="s">
        <v>30</v>
      </c>
      <c r="K22" s="6" t="s">
        <v>31</v>
      </c>
      <c r="L22" s="7" t="n">
        <v>3.2</v>
      </c>
      <c r="M22" s="6" t="n">
        <v>82</v>
      </c>
      <c r="N22" s="8" t="n">
        <v>110</v>
      </c>
      <c r="O22" s="8" t="n">
        <v>250</v>
      </c>
      <c r="P22" s="8" t="n">
        <v>230</v>
      </c>
      <c r="Q22" s="9" t="n">
        <f aca="false">IF(N22="","",IF(N22&gt;0,ROUND(N22/100+1,2),ROUND(100/ABS(N22)+1,2)))</f>
        <v>2.1</v>
      </c>
      <c r="R22" s="9" t="n">
        <f aca="false">IF(O22="","",IF(O22&gt;0,ROUND(O22/100+1,2),ROUND(100/ABS(O22)+1,2)))</f>
        <v>3.5</v>
      </c>
      <c r="S22" s="9" t="n">
        <f aca="false">IF(P22="","",IF(P22&gt;0,ROUND(P22/100+1,2),ROUND(100/ABS(P22)+1,2)))</f>
        <v>3.3</v>
      </c>
      <c r="T22" s="10" t="n">
        <f aca="false">MAX(G22:I22)</f>
        <v>40</v>
      </c>
      <c r="U22" s="6" t="n">
        <v>3</v>
      </c>
      <c r="V22" s="6" t="n">
        <v>5</v>
      </c>
      <c r="W22" s="5" t="s">
        <v>102</v>
      </c>
    </row>
    <row r="23" customFormat="false" ht="15" hidden="false" customHeight="false" outlineLevel="0" collapsed="false">
      <c r="A23" s="4" t="s">
        <v>25</v>
      </c>
      <c r="B23" s="4" t="s">
        <v>70</v>
      </c>
      <c r="C23" s="4" t="s">
        <v>103</v>
      </c>
      <c r="D23" s="5" t="str">
        <f aca="false">IFERROR(VLOOKUP(C23,Maelezo!$A$22:$B$30,2,FALSE()),C23)</f>
        <v>Japan J2 League</v>
      </c>
      <c r="E23" s="5" t="s">
        <v>104</v>
      </c>
      <c r="F23" s="5" t="s">
        <v>105</v>
      </c>
      <c r="G23" s="6" t="n">
        <v>35</v>
      </c>
      <c r="H23" s="6" t="n">
        <v>39</v>
      </c>
      <c r="I23" s="6" t="n">
        <v>26</v>
      </c>
      <c r="J23" s="6" t="s">
        <v>36</v>
      </c>
      <c r="K23" s="6" t="s">
        <v>68</v>
      </c>
      <c r="L23" s="7" t="n">
        <v>1.1</v>
      </c>
      <c r="M23" s="6" t="n">
        <v>84</v>
      </c>
      <c r="N23" s="8" t="n">
        <v>-105</v>
      </c>
      <c r="O23" s="8" t="n">
        <v>225</v>
      </c>
      <c r="P23" s="8" t="n">
        <v>290</v>
      </c>
      <c r="Q23" s="9" t="n">
        <f aca="false">IF(N23="","",IF(N23&gt;0,ROUND(N23/100+1,2),ROUND(100/ABS(N23)+1,2)))</f>
        <v>1.95</v>
      </c>
      <c r="R23" s="9" t="n">
        <f aca="false">IF(O23="","",IF(O23&gt;0,ROUND(O23/100+1,2),ROUND(100/ABS(O23)+1,2)))</f>
        <v>3.25</v>
      </c>
      <c r="S23" s="9" t="n">
        <f aca="false">IF(P23="","",IF(P23&gt;0,ROUND(P23/100+1,2),ROUND(100/ABS(P23)+1,2)))</f>
        <v>3.9</v>
      </c>
      <c r="T23" s="10" t="n">
        <f aca="false">MAX(G23:I23)</f>
        <v>39</v>
      </c>
      <c r="U23" s="6" t="n">
        <v>10</v>
      </c>
      <c r="V23" s="6" t="n">
        <v>15</v>
      </c>
      <c r="W23" s="5" t="s">
        <v>106</v>
      </c>
    </row>
    <row r="24" customFormat="false" ht="15" hidden="false" customHeight="false" outlineLevel="0" collapsed="false">
      <c r="A24" s="4" t="s">
        <v>25</v>
      </c>
      <c r="B24" s="4" t="s">
        <v>70</v>
      </c>
      <c r="C24" s="4" t="s">
        <v>103</v>
      </c>
      <c r="D24" s="5" t="str">
        <f aca="false">IFERROR(VLOOKUP(C24,Maelezo!$A$22:$B$30,2,FALSE()),C24)</f>
        <v>Japan J2 League</v>
      </c>
      <c r="E24" s="5" t="s">
        <v>107</v>
      </c>
      <c r="F24" s="5" t="s">
        <v>108</v>
      </c>
      <c r="G24" s="6" t="n">
        <v>40</v>
      </c>
      <c r="H24" s="6" t="n">
        <v>33</v>
      </c>
      <c r="I24" s="6" t="n">
        <v>27</v>
      </c>
      <c r="J24" s="6" t="s">
        <v>55</v>
      </c>
      <c r="K24" s="6" t="s">
        <v>109</v>
      </c>
      <c r="L24" s="7" t="n">
        <v>1.9</v>
      </c>
      <c r="M24" s="6" t="n">
        <v>79</v>
      </c>
      <c r="N24" s="8" t="n">
        <v>100</v>
      </c>
      <c r="O24" s="8" t="n">
        <v>225</v>
      </c>
      <c r="P24" s="8" t="n">
        <v>280</v>
      </c>
      <c r="Q24" s="9" t="n">
        <f aca="false">IF(N24="","",IF(N24&gt;0,ROUND(N24/100+1,2),ROUND(100/ABS(N24)+1,2)))</f>
        <v>2</v>
      </c>
      <c r="R24" s="9" t="n">
        <f aca="false">IF(O24="","",IF(O24&gt;0,ROUND(O24/100+1,2),ROUND(100/ABS(O24)+1,2)))</f>
        <v>3.25</v>
      </c>
      <c r="S24" s="9" t="n">
        <f aca="false">IF(P24="","",IF(P24&gt;0,ROUND(P24/100+1,2),ROUND(100/ABS(P24)+1,2)))</f>
        <v>3.8</v>
      </c>
      <c r="T24" s="10" t="n">
        <f aca="false">MAX(G24:I24)</f>
        <v>40</v>
      </c>
      <c r="U24" s="6" t="n">
        <v>13</v>
      </c>
      <c r="V24" s="6" t="n">
        <v>19</v>
      </c>
      <c r="W24" s="5" t="s">
        <v>110</v>
      </c>
    </row>
    <row r="25" customFormat="false" ht="15" hidden="false" customHeight="false" outlineLevel="0" collapsed="false">
      <c r="A25" s="4" t="s">
        <v>25</v>
      </c>
      <c r="B25" s="4" t="s">
        <v>70</v>
      </c>
      <c r="C25" s="4" t="s">
        <v>103</v>
      </c>
      <c r="D25" s="5" t="str">
        <f aca="false">IFERROR(VLOOKUP(C25,Maelezo!$A$22:$B$30,2,FALSE()),C25)</f>
        <v>Japan J2 League</v>
      </c>
      <c r="E25" s="5" t="s">
        <v>111</v>
      </c>
      <c r="F25" s="5" t="s">
        <v>112</v>
      </c>
      <c r="G25" s="6" t="n">
        <v>22</v>
      </c>
      <c r="H25" s="6" t="n">
        <v>42</v>
      </c>
      <c r="I25" s="6" t="n">
        <v>36</v>
      </c>
      <c r="J25" s="6" t="s">
        <v>36</v>
      </c>
      <c r="K25" s="6" t="s">
        <v>68</v>
      </c>
      <c r="L25" s="7" t="n">
        <v>2.48</v>
      </c>
      <c r="M25" s="6" t="n">
        <v>79</v>
      </c>
      <c r="N25" s="8" t="n">
        <v>-111</v>
      </c>
      <c r="O25" s="8" t="n">
        <v>230</v>
      </c>
      <c r="P25" s="8" t="n">
        <v>300</v>
      </c>
      <c r="Q25" s="9" t="n">
        <f aca="false">IF(N25="","",IF(N25&gt;0,ROUND(N25/100+1,2),ROUND(100/ABS(N25)+1,2)))</f>
        <v>1.9</v>
      </c>
      <c r="R25" s="9" t="n">
        <f aca="false">IF(O25="","",IF(O25&gt;0,ROUND(O25/100+1,2),ROUND(100/ABS(O25)+1,2)))</f>
        <v>3.3</v>
      </c>
      <c r="S25" s="9" t="n">
        <f aca="false">IF(P25="","",IF(P25&gt;0,ROUND(P25/100+1,2),ROUND(100/ABS(P25)+1,2)))</f>
        <v>4</v>
      </c>
      <c r="T25" s="10" t="n">
        <f aca="false">MAX(G25:I25)</f>
        <v>42</v>
      </c>
      <c r="U25" s="6" t="n">
        <v>11</v>
      </c>
      <c r="V25" s="6" t="n">
        <v>7</v>
      </c>
      <c r="W25" s="5" t="s">
        <v>113</v>
      </c>
    </row>
    <row r="26" customFormat="false" ht="15" hidden="false" customHeight="false" outlineLevel="0" collapsed="false">
      <c r="A26" s="4" t="s">
        <v>25</v>
      </c>
      <c r="B26" s="4" t="s">
        <v>70</v>
      </c>
      <c r="C26" s="4" t="s">
        <v>103</v>
      </c>
      <c r="D26" s="5" t="str">
        <f aca="false">IFERROR(VLOOKUP(C26,Maelezo!$A$22:$B$30,2,FALSE()),C26)</f>
        <v>Japan J2 League</v>
      </c>
      <c r="E26" s="5" t="s">
        <v>114</v>
      </c>
      <c r="F26" s="5" t="s">
        <v>115</v>
      </c>
      <c r="G26" s="6" t="n">
        <v>60</v>
      </c>
      <c r="H26" s="6" t="n">
        <v>22</v>
      </c>
      <c r="I26" s="6" t="n">
        <v>18</v>
      </c>
      <c r="J26" s="6" t="s">
        <v>55</v>
      </c>
      <c r="K26" s="6" t="s">
        <v>109</v>
      </c>
      <c r="L26" s="7" t="n">
        <v>2.3</v>
      </c>
      <c r="M26" s="6" t="n">
        <v>70</v>
      </c>
      <c r="N26" s="8" t="n">
        <v>250</v>
      </c>
      <c r="O26" s="8" t="n">
        <v>220</v>
      </c>
      <c r="P26" s="8" t="n">
        <v>115</v>
      </c>
      <c r="Q26" s="9" t="n">
        <f aca="false">IF(N26="","",IF(N26&gt;0,ROUND(N26/100+1,2),ROUND(100/ABS(N26)+1,2)))</f>
        <v>3.5</v>
      </c>
      <c r="R26" s="9" t="n">
        <f aca="false">IF(O26="","",IF(O26&gt;0,ROUND(O26/100+1,2),ROUND(100/ABS(O26)+1,2)))</f>
        <v>3.2</v>
      </c>
      <c r="S26" s="9" t="n">
        <f aca="false">IF(P26="","",IF(P26&gt;0,ROUND(P26/100+1,2),ROUND(100/ABS(P26)+1,2)))</f>
        <v>2.15</v>
      </c>
      <c r="T26" s="10" t="n">
        <f aca="false">MAX(G26:I26)</f>
        <v>60</v>
      </c>
      <c r="U26" s="6" t="n">
        <v>3</v>
      </c>
      <c r="V26" s="6" t="n">
        <v>12</v>
      </c>
      <c r="W26" s="5" t="s">
        <v>116</v>
      </c>
    </row>
    <row r="27" customFormat="false" ht="15" hidden="false" customHeight="false" outlineLevel="0" collapsed="false">
      <c r="A27" s="4" t="s">
        <v>25</v>
      </c>
      <c r="B27" s="4" t="s">
        <v>70</v>
      </c>
      <c r="C27" s="4" t="s">
        <v>103</v>
      </c>
      <c r="D27" s="5" t="str">
        <f aca="false">IFERROR(VLOOKUP(C27,Maelezo!$A$22:$B$30,2,FALSE()),C27)</f>
        <v>Japan J2 League</v>
      </c>
      <c r="E27" s="5" t="s">
        <v>117</v>
      </c>
      <c r="F27" s="5" t="s">
        <v>118</v>
      </c>
      <c r="G27" s="6" t="n">
        <v>28</v>
      </c>
      <c r="H27" s="6" t="n">
        <v>25</v>
      </c>
      <c r="I27" s="6" t="n">
        <v>47</v>
      </c>
      <c r="J27" s="6" t="s">
        <v>30</v>
      </c>
      <c r="K27" s="6" t="s">
        <v>83</v>
      </c>
      <c r="L27" s="7" t="n">
        <v>2.84</v>
      </c>
      <c r="M27" s="6" t="n">
        <v>81</v>
      </c>
      <c r="N27" s="8" t="n">
        <v>350</v>
      </c>
      <c r="O27" s="8" t="n">
        <v>270</v>
      </c>
      <c r="P27" s="8" t="n">
        <v>-143</v>
      </c>
      <c r="Q27" s="9" t="n">
        <f aca="false">IF(N27="","",IF(N27&gt;0,ROUND(N27/100+1,2),ROUND(100/ABS(N27)+1,2)))</f>
        <v>4.5</v>
      </c>
      <c r="R27" s="9" t="n">
        <f aca="false">IF(O27="","",IF(O27&gt;0,ROUND(O27/100+1,2),ROUND(100/ABS(O27)+1,2)))</f>
        <v>3.7</v>
      </c>
      <c r="S27" s="9" t="n">
        <f aca="false">IF(P27="","",IF(P27&gt;0,ROUND(P27/100+1,2),ROUND(100/ABS(P27)+1,2)))</f>
        <v>1.7</v>
      </c>
      <c r="T27" s="10" t="n">
        <f aca="false">MAX(G27:I27)</f>
        <v>47</v>
      </c>
      <c r="U27" s="6" t="n">
        <v>20</v>
      </c>
      <c r="V27" s="6" t="n">
        <v>5</v>
      </c>
      <c r="W27" s="5" t="s">
        <v>119</v>
      </c>
    </row>
    <row r="28" customFormat="false" ht="15" hidden="false" customHeight="false" outlineLevel="0" collapsed="false">
      <c r="A28" s="4" t="s">
        <v>25</v>
      </c>
      <c r="B28" s="4" t="s">
        <v>70</v>
      </c>
      <c r="C28" s="4" t="s">
        <v>103</v>
      </c>
      <c r="D28" s="5" t="str">
        <f aca="false">IFERROR(VLOOKUP(C28,Maelezo!$A$22:$B$30,2,FALSE()),C28)</f>
        <v>Japan J2 League</v>
      </c>
      <c r="E28" s="5" t="s">
        <v>120</v>
      </c>
      <c r="F28" s="5" t="s">
        <v>121</v>
      </c>
      <c r="G28" s="6" t="n">
        <v>30</v>
      </c>
      <c r="H28" s="6" t="n">
        <v>46</v>
      </c>
      <c r="I28" s="6" t="n">
        <v>24</v>
      </c>
      <c r="J28" s="6" t="s">
        <v>36</v>
      </c>
      <c r="K28" s="6" t="s">
        <v>68</v>
      </c>
      <c r="L28" s="7" t="n">
        <v>2.25</v>
      </c>
      <c r="M28" s="6" t="n">
        <v>79</v>
      </c>
      <c r="N28" s="8" t="n">
        <v>125</v>
      </c>
      <c r="O28" s="8" t="n">
        <v>230</v>
      </c>
      <c r="P28" s="8" t="n">
        <v>210</v>
      </c>
      <c r="Q28" s="9" t="n">
        <f aca="false">IF(N28="","",IF(N28&gt;0,ROUND(N28/100+1,2),ROUND(100/ABS(N28)+1,2)))</f>
        <v>2.25</v>
      </c>
      <c r="R28" s="9" t="n">
        <f aca="false">IF(O28="","",IF(O28&gt;0,ROUND(O28/100+1,2),ROUND(100/ABS(O28)+1,2)))</f>
        <v>3.3</v>
      </c>
      <c r="S28" s="9" t="n">
        <f aca="false">IF(P28="","",IF(P28&gt;0,ROUND(P28/100+1,2),ROUND(100/ABS(P28)+1,2)))</f>
        <v>3.1</v>
      </c>
      <c r="T28" s="10" t="n">
        <f aca="false">MAX(G28:I28)</f>
        <v>46</v>
      </c>
      <c r="U28" s="6" t="n">
        <v>6</v>
      </c>
      <c r="V28" s="6" t="n">
        <v>8</v>
      </c>
      <c r="W28" s="5" t="s">
        <v>122</v>
      </c>
    </row>
    <row r="29" customFormat="false" ht="15" hidden="false" customHeight="false" outlineLevel="0" collapsed="false">
      <c r="A29" s="4" t="s">
        <v>25</v>
      </c>
      <c r="B29" s="4" t="s">
        <v>70</v>
      </c>
      <c r="C29" s="4" t="s">
        <v>103</v>
      </c>
      <c r="D29" s="5" t="str">
        <f aca="false">IFERROR(VLOOKUP(C29,Maelezo!$A$22:$B$30,2,FALSE()),C29)</f>
        <v>Japan J2 League</v>
      </c>
      <c r="E29" s="5" t="s">
        <v>123</v>
      </c>
      <c r="F29" s="5" t="s">
        <v>124</v>
      </c>
      <c r="G29" s="6" t="n">
        <v>25</v>
      </c>
      <c r="H29" s="6" t="n">
        <v>47</v>
      </c>
      <c r="I29" s="6" t="n">
        <v>28</v>
      </c>
      <c r="J29" s="6" t="s">
        <v>36</v>
      </c>
      <c r="K29" s="6" t="s">
        <v>125</v>
      </c>
      <c r="L29" s="7" t="n">
        <v>3.57</v>
      </c>
      <c r="M29" s="6" t="n">
        <v>82</v>
      </c>
      <c r="N29" s="8" t="n">
        <v>115</v>
      </c>
      <c r="O29" s="8" t="n">
        <v>270</v>
      </c>
      <c r="P29" s="8" t="n">
        <v>190</v>
      </c>
      <c r="Q29" s="9" t="n">
        <f aca="false">IF(N29="","",IF(N29&gt;0,ROUND(N29/100+1,2),ROUND(100/ABS(N29)+1,2)))</f>
        <v>2.15</v>
      </c>
      <c r="R29" s="9" t="n">
        <f aca="false">IF(O29="","",IF(O29&gt;0,ROUND(O29/100+1,2),ROUND(100/ABS(O29)+1,2)))</f>
        <v>3.7</v>
      </c>
      <c r="S29" s="9" t="n">
        <f aca="false">IF(P29="","",IF(P29&gt;0,ROUND(P29/100+1,2),ROUND(100/ABS(P29)+1,2)))</f>
        <v>2.9</v>
      </c>
      <c r="T29" s="10" t="n">
        <f aca="false">MAX(G29:I29)</f>
        <v>47</v>
      </c>
      <c r="U29" s="6" t="n">
        <v>2</v>
      </c>
      <c r="V29" s="6" t="n">
        <v>4</v>
      </c>
      <c r="W29" s="5" t="s">
        <v>126</v>
      </c>
    </row>
    <row r="30" customFormat="false" ht="15" hidden="false" customHeight="false" outlineLevel="0" collapsed="false">
      <c r="A30" s="4" t="s">
        <v>25</v>
      </c>
      <c r="B30" s="4" t="s">
        <v>70</v>
      </c>
      <c r="C30" s="4" t="s">
        <v>103</v>
      </c>
      <c r="D30" s="5" t="str">
        <f aca="false">IFERROR(VLOOKUP(C30,Maelezo!$A$22:$B$30,2,FALSE()),C30)</f>
        <v>Japan J2 League</v>
      </c>
      <c r="E30" s="5" t="s">
        <v>127</v>
      </c>
      <c r="F30" s="5" t="s">
        <v>128</v>
      </c>
      <c r="G30" s="6" t="n">
        <v>26</v>
      </c>
      <c r="H30" s="6" t="n">
        <v>42</v>
      </c>
      <c r="I30" s="6" t="n">
        <v>32</v>
      </c>
      <c r="J30" s="6" t="s">
        <v>36</v>
      </c>
      <c r="K30" s="6" t="s">
        <v>68</v>
      </c>
      <c r="L30" s="7" t="n">
        <v>2.25</v>
      </c>
      <c r="M30" s="6" t="n">
        <v>75</v>
      </c>
      <c r="N30" s="8" t="n">
        <v>115</v>
      </c>
      <c r="O30" s="8" t="n">
        <v>250</v>
      </c>
      <c r="P30" s="8" t="n">
        <v>210</v>
      </c>
      <c r="Q30" s="9" t="n">
        <f aca="false">IF(N30="","",IF(N30&gt;0,ROUND(N30/100+1,2),ROUND(100/ABS(N30)+1,2)))</f>
        <v>2.15</v>
      </c>
      <c r="R30" s="9" t="n">
        <f aca="false">IF(O30="","",IF(O30&gt;0,ROUND(O30/100+1,2),ROUND(100/ABS(O30)+1,2)))</f>
        <v>3.5</v>
      </c>
      <c r="S30" s="9" t="n">
        <f aca="false">IF(P30="","",IF(P30&gt;0,ROUND(P30/100+1,2),ROUND(100/ABS(P30)+1,2)))</f>
        <v>3.1</v>
      </c>
      <c r="T30" s="10" t="n">
        <f aca="false">MAX(G30:I30)</f>
        <v>42</v>
      </c>
      <c r="U30" s="6" t="n">
        <v>17</v>
      </c>
      <c r="V30" s="6" t="n">
        <v>9</v>
      </c>
      <c r="W30" s="5" t="s">
        <v>129</v>
      </c>
    </row>
    <row r="31" customFormat="false" ht="15" hidden="false" customHeight="false" outlineLevel="0" collapsed="false">
      <c r="A31" s="4" t="s">
        <v>25</v>
      </c>
      <c r="B31" s="4" t="s">
        <v>70</v>
      </c>
      <c r="C31" s="4" t="s">
        <v>103</v>
      </c>
      <c r="D31" s="5" t="str">
        <f aca="false">IFERROR(VLOOKUP(C31,Maelezo!$A$22:$B$30,2,FALSE()),C31)</f>
        <v>Japan J2 League</v>
      </c>
      <c r="E31" s="5" t="s">
        <v>130</v>
      </c>
      <c r="F31" s="5" t="s">
        <v>131</v>
      </c>
      <c r="G31" s="6" t="n">
        <v>46</v>
      </c>
      <c r="H31" s="6" t="n">
        <v>29</v>
      </c>
      <c r="I31" s="6" t="n">
        <v>26</v>
      </c>
      <c r="J31" s="6" t="s">
        <v>55</v>
      </c>
      <c r="K31" s="6" t="s">
        <v>62</v>
      </c>
      <c r="L31" s="7" t="n">
        <v>2.38</v>
      </c>
      <c r="M31" s="6" t="n">
        <v>72</v>
      </c>
      <c r="N31" s="8" t="n">
        <v>-222</v>
      </c>
      <c r="O31" s="8" t="n">
        <v>310</v>
      </c>
      <c r="P31" s="8" t="n">
        <v>550</v>
      </c>
      <c r="Q31" s="9" t="n">
        <f aca="false">IF(N31="","",IF(N31&gt;0,ROUND(N31/100+1,2),ROUND(100/ABS(N31)+1,2)))</f>
        <v>1.45</v>
      </c>
      <c r="R31" s="9" t="n">
        <f aca="false">IF(O31="","",IF(O31&gt;0,ROUND(O31/100+1,2),ROUND(100/ABS(O31)+1,2)))</f>
        <v>4.1</v>
      </c>
      <c r="S31" s="9" t="n">
        <f aca="false">IF(P31="","",IF(P31&gt;0,ROUND(P31/100+1,2),ROUND(100/ABS(P31)+1,2)))</f>
        <v>6.5</v>
      </c>
      <c r="T31" s="10" t="n">
        <f aca="false">MAX(G31:I31)</f>
        <v>46</v>
      </c>
      <c r="U31" s="6" t="n">
        <v>1</v>
      </c>
      <c r="V31" s="6" t="n">
        <v>18</v>
      </c>
      <c r="W31" s="5" t="s">
        <v>132</v>
      </c>
    </row>
    <row r="32" customFormat="false" ht="15" hidden="false" customHeight="false" outlineLevel="0" collapsed="false">
      <c r="A32" s="4" t="s">
        <v>25</v>
      </c>
      <c r="B32" s="4" t="s">
        <v>70</v>
      </c>
      <c r="C32" s="4" t="s">
        <v>133</v>
      </c>
      <c r="D32" s="5" t="str">
        <f aca="false">IFERROR(VLOOKUP(C32,Maelezo!$A$22:$B$30,2,FALSE()),C32)</f>
        <v>Japan J3 League</v>
      </c>
      <c r="E32" s="5" t="s">
        <v>134</v>
      </c>
      <c r="F32" s="5" t="s">
        <v>135</v>
      </c>
      <c r="G32" s="6" t="n">
        <v>81</v>
      </c>
      <c r="H32" s="6" t="n">
        <v>15</v>
      </c>
      <c r="I32" s="6" t="n">
        <v>4</v>
      </c>
      <c r="J32" s="6" t="s">
        <v>55</v>
      </c>
      <c r="K32" s="6" t="s">
        <v>136</v>
      </c>
      <c r="L32" s="7" t="n">
        <v>4.13</v>
      </c>
      <c r="M32" s="6" t="n">
        <v>81</v>
      </c>
      <c r="N32" s="8" t="n">
        <v>-189</v>
      </c>
      <c r="O32" s="8" t="n">
        <v>275</v>
      </c>
      <c r="P32" s="8" t="n">
        <v>425</v>
      </c>
      <c r="Q32" s="9" t="n">
        <f aca="false">IF(N32="","",IF(N32&gt;0,ROUND(N32/100+1,2),ROUND(100/ABS(N32)+1,2)))</f>
        <v>1.53</v>
      </c>
      <c r="R32" s="9" t="n">
        <f aca="false">IF(O32="","",IF(O32&gt;0,ROUND(O32/100+1,2),ROUND(100/ABS(O32)+1,2)))</f>
        <v>3.75</v>
      </c>
      <c r="S32" s="9" t="n">
        <f aca="false">IF(P32="","",IF(P32&gt;0,ROUND(P32/100+1,2),ROUND(100/ABS(P32)+1,2)))</f>
        <v>5.25</v>
      </c>
      <c r="T32" s="10" t="n">
        <f aca="false">MAX(G32:I32)</f>
        <v>81</v>
      </c>
      <c r="U32" s="6" t="n">
        <v>1</v>
      </c>
      <c r="V32" s="6" t="n">
        <v>20</v>
      </c>
      <c r="W32" s="5" t="s">
        <v>137</v>
      </c>
    </row>
    <row r="33" customFormat="false" ht="15" hidden="false" customHeight="false" outlineLevel="0" collapsed="false">
      <c r="A33" s="4" t="s">
        <v>25</v>
      </c>
      <c r="B33" s="4" t="s">
        <v>70</v>
      </c>
      <c r="C33" s="4" t="s">
        <v>133</v>
      </c>
      <c r="D33" s="5" t="str">
        <f aca="false">IFERROR(VLOOKUP(C33,Maelezo!$A$22:$B$30,2,FALSE()),C33)</f>
        <v>Japan J3 League</v>
      </c>
      <c r="E33" s="5" t="s">
        <v>138</v>
      </c>
      <c r="F33" s="5" t="s">
        <v>139</v>
      </c>
      <c r="G33" s="6" t="n">
        <v>37</v>
      </c>
      <c r="H33" s="6" t="n">
        <v>34</v>
      </c>
      <c r="I33" s="6" t="n">
        <v>29</v>
      </c>
      <c r="J33" s="6" t="s">
        <v>55</v>
      </c>
      <c r="K33" s="6" t="s">
        <v>62</v>
      </c>
      <c r="L33" s="7" t="n">
        <v>2.45</v>
      </c>
      <c r="M33" s="6" t="n">
        <v>73</v>
      </c>
      <c r="N33" s="8" t="n">
        <v>-143</v>
      </c>
      <c r="O33" s="8" t="n">
        <v>260</v>
      </c>
      <c r="P33" s="8" t="n">
        <v>310</v>
      </c>
      <c r="Q33" s="9" t="n">
        <f aca="false">IF(N33="","",IF(N33&gt;0,ROUND(N33/100+1,2),ROUND(100/ABS(N33)+1,2)))</f>
        <v>1.7</v>
      </c>
      <c r="R33" s="9" t="n">
        <f aca="false">IF(O33="","",IF(O33&gt;0,ROUND(O33/100+1,2),ROUND(100/ABS(O33)+1,2)))</f>
        <v>3.6</v>
      </c>
      <c r="S33" s="9" t="n">
        <f aca="false">IF(P33="","",IF(P33&gt;0,ROUND(P33/100+1,2),ROUND(100/ABS(P33)+1,2)))</f>
        <v>4.1</v>
      </c>
      <c r="T33" s="10" t="n">
        <f aca="false">MAX(G33:I33)</f>
        <v>37</v>
      </c>
      <c r="U33" s="6" t="n">
        <v>8</v>
      </c>
      <c r="V33" s="6" t="n">
        <v>13</v>
      </c>
      <c r="W33" s="5" t="s">
        <v>140</v>
      </c>
    </row>
    <row r="34" customFormat="false" ht="15" hidden="false" customHeight="false" outlineLevel="0" collapsed="false">
      <c r="A34" s="4" t="s">
        <v>25</v>
      </c>
      <c r="B34" s="4" t="s">
        <v>70</v>
      </c>
      <c r="C34" s="4" t="s">
        <v>133</v>
      </c>
      <c r="D34" s="5" t="str">
        <f aca="false">IFERROR(VLOOKUP(C34,Maelezo!$A$22:$B$30,2,FALSE()),C34)</f>
        <v>Japan J3 League</v>
      </c>
      <c r="E34" s="5" t="s">
        <v>141</v>
      </c>
      <c r="F34" s="5" t="s">
        <v>142</v>
      </c>
      <c r="G34" s="6" t="n">
        <v>30</v>
      </c>
      <c r="H34" s="6" t="n">
        <v>36</v>
      </c>
      <c r="I34" s="6" t="n">
        <v>33</v>
      </c>
      <c r="J34" s="6" t="s">
        <v>36</v>
      </c>
      <c r="K34" s="6" t="s">
        <v>68</v>
      </c>
      <c r="L34" s="7" t="n">
        <v>2.26</v>
      </c>
      <c r="M34" s="6" t="n">
        <v>61</v>
      </c>
      <c r="N34" s="8" t="n">
        <v>120</v>
      </c>
      <c r="O34" s="8" t="n">
        <v>225</v>
      </c>
      <c r="P34" s="8" t="n">
        <v>187</v>
      </c>
      <c r="Q34" s="9" t="n">
        <f aca="false">IF(N34="","",IF(N34&gt;0,ROUND(N34/100+1,2),ROUND(100/ABS(N34)+1,2)))</f>
        <v>2.2</v>
      </c>
      <c r="R34" s="9" t="n">
        <f aca="false">IF(O34="","",IF(O34&gt;0,ROUND(O34/100+1,2),ROUND(100/ABS(O34)+1,2)))</f>
        <v>3.25</v>
      </c>
      <c r="S34" s="9" t="n">
        <f aca="false">IF(P34="","",IF(P34&gt;0,ROUND(P34/100+1,2),ROUND(100/ABS(P34)+1,2)))</f>
        <v>2.87</v>
      </c>
      <c r="T34" s="10" t="n">
        <f aca="false">MAX(G34:I34)</f>
        <v>36</v>
      </c>
      <c r="U34" s="6" t="n">
        <v>2</v>
      </c>
      <c r="V34" s="6" t="n">
        <v>3</v>
      </c>
      <c r="W34" s="5" t="s">
        <v>143</v>
      </c>
    </row>
    <row r="35" customFormat="false" ht="15" hidden="false" customHeight="false" outlineLevel="0" collapsed="false">
      <c r="A35" s="4" t="s">
        <v>25</v>
      </c>
      <c r="B35" s="4" t="s">
        <v>70</v>
      </c>
      <c r="C35" s="4" t="s">
        <v>133</v>
      </c>
      <c r="D35" s="5" t="str">
        <f aca="false">IFERROR(VLOOKUP(C35,Maelezo!$A$22:$B$30,2,FALSE()),C35)</f>
        <v>Japan J3 League</v>
      </c>
      <c r="E35" s="5" t="s">
        <v>144</v>
      </c>
      <c r="F35" s="5" t="s">
        <v>145</v>
      </c>
      <c r="G35" s="6" t="n">
        <v>24</v>
      </c>
      <c r="H35" s="6" t="n">
        <v>29</v>
      </c>
      <c r="I35" s="6" t="n">
        <v>46</v>
      </c>
      <c r="J35" s="6" t="s">
        <v>30</v>
      </c>
      <c r="K35" s="6" t="s">
        <v>43</v>
      </c>
      <c r="L35" s="7" t="n">
        <v>2.45</v>
      </c>
      <c r="M35" s="6" t="n">
        <v>97</v>
      </c>
      <c r="N35" s="8" t="n">
        <v>250</v>
      </c>
      <c r="O35" s="8" t="n">
        <v>250</v>
      </c>
      <c r="P35" s="8" t="n">
        <v>-120</v>
      </c>
      <c r="Q35" s="9" t="n">
        <f aca="false">IF(N35="","",IF(N35&gt;0,ROUND(N35/100+1,2),ROUND(100/ABS(N35)+1,2)))</f>
        <v>3.5</v>
      </c>
      <c r="R35" s="9" t="n">
        <f aca="false">IF(O35="","",IF(O35&gt;0,ROUND(O35/100+1,2),ROUND(100/ABS(O35)+1,2)))</f>
        <v>3.5</v>
      </c>
      <c r="S35" s="9" t="n">
        <f aca="false">IF(P35="","",IF(P35&gt;0,ROUND(P35/100+1,2),ROUND(100/ABS(P35)+1,2)))</f>
        <v>1.83</v>
      </c>
      <c r="T35" s="10" t="n">
        <f aca="false">MAX(G35:I35)</f>
        <v>46</v>
      </c>
      <c r="U35" s="6" t="n">
        <v>19</v>
      </c>
      <c r="V35" s="6" t="n">
        <v>11</v>
      </c>
      <c r="W35" s="5" t="s">
        <v>146</v>
      </c>
    </row>
    <row r="36" customFormat="false" ht="15" hidden="false" customHeight="false" outlineLevel="0" collapsed="false">
      <c r="A36" s="4" t="s">
        <v>25</v>
      </c>
      <c r="B36" s="4" t="s">
        <v>70</v>
      </c>
      <c r="C36" s="4" t="s">
        <v>133</v>
      </c>
      <c r="D36" s="5" t="str">
        <f aca="false">IFERROR(VLOOKUP(C36,Maelezo!$A$22:$B$30,2,FALSE()),C36)</f>
        <v>Japan J3 League</v>
      </c>
      <c r="E36" s="5" t="s">
        <v>147</v>
      </c>
      <c r="F36" s="5" t="s">
        <v>148</v>
      </c>
      <c r="G36" s="6" t="n">
        <v>27</v>
      </c>
      <c r="H36" s="6" t="n">
        <v>34</v>
      </c>
      <c r="I36" s="6" t="n">
        <v>40</v>
      </c>
      <c r="J36" s="6" t="s">
        <v>30</v>
      </c>
      <c r="K36" s="6" t="s">
        <v>149</v>
      </c>
      <c r="L36" s="7" t="n">
        <v>1.71</v>
      </c>
      <c r="M36" s="6" t="n">
        <v>82</v>
      </c>
      <c r="N36" s="8" t="n">
        <v>-111</v>
      </c>
      <c r="O36" s="8" t="n">
        <v>240</v>
      </c>
      <c r="P36" s="8" t="n">
        <v>230</v>
      </c>
      <c r="Q36" s="9" t="n">
        <f aca="false">IF(N36="","",IF(N36&gt;0,ROUND(N36/100+1,2),ROUND(100/ABS(N36)+1,2)))</f>
        <v>1.9</v>
      </c>
      <c r="R36" s="9" t="n">
        <f aca="false">IF(O36="","",IF(O36&gt;0,ROUND(O36/100+1,2),ROUND(100/ABS(O36)+1,2)))</f>
        <v>3.4</v>
      </c>
      <c r="S36" s="9" t="n">
        <f aca="false">IF(P36="","",IF(P36&gt;0,ROUND(P36/100+1,2),ROUND(100/ABS(P36)+1,2)))</f>
        <v>3.3</v>
      </c>
      <c r="T36" s="10" t="n">
        <f aca="false">MAX(G36:I36)</f>
        <v>40</v>
      </c>
      <c r="U36" s="6" t="n">
        <v>7</v>
      </c>
      <c r="V36" s="6" t="n">
        <v>4</v>
      </c>
      <c r="W36" s="5" t="s">
        <v>150</v>
      </c>
    </row>
    <row r="37" customFormat="false" ht="15" hidden="false" customHeight="false" outlineLevel="0" collapsed="false">
      <c r="A37" s="4" t="s">
        <v>25</v>
      </c>
      <c r="B37" s="4" t="s">
        <v>70</v>
      </c>
      <c r="C37" s="4" t="s">
        <v>133</v>
      </c>
      <c r="D37" s="5" t="str">
        <f aca="false">IFERROR(VLOOKUP(C37,Maelezo!$A$22:$B$30,2,FALSE()),C37)</f>
        <v>Japan J3 League</v>
      </c>
      <c r="E37" s="5" t="s">
        <v>151</v>
      </c>
      <c r="F37" s="5" t="s">
        <v>152</v>
      </c>
      <c r="G37" s="6" t="n">
        <v>28</v>
      </c>
      <c r="H37" s="6" t="n">
        <v>37</v>
      </c>
      <c r="I37" s="6" t="n">
        <v>36</v>
      </c>
      <c r="J37" s="6" t="s">
        <v>36</v>
      </c>
      <c r="K37" s="6" t="s">
        <v>68</v>
      </c>
      <c r="L37" s="7" t="n">
        <v>2.38</v>
      </c>
      <c r="M37" s="6" t="n">
        <v>79</v>
      </c>
      <c r="N37" s="8" t="n">
        <v>100</v>
      </c>
      <c r="O37" s="8" t="n">
        <v>250</v>
      </c>
      <c r="P37" s="8" t="n">
        <v>200</v>
      </c>
      <c r="Q37" s="9" t="n">
        <f aca="false">IF(N37="","",IF(N37&gt;0,ROUND(N37/100+1,2),ROUND(100/ABS(N37)+1,2)))</f>
        <v>2</v>
      </c>
      <c r="R37" s="9" t="n">
        <f aca="false">IF(O37="","",IF(O37&gt;0,ROUND(O37/100+1,2),ROUND(100/ABS(O37)+1,2)))</f>
        <v>3.5</v>
      </c>
      <c r="S37" s="9" t="n">
        <f aca="false">IF(P37="","",IF(P37&gt;0,ROUND(P37/100+1,2),ROUND(100/ABS(P37)+1,2)))</f>
        <v>3</v>
      </c>
      <c r="T37" s="10" t="n">
        <f aca="false">MAX(G37:I37)</f>
        <v>37</v>
      </c>
      <c r="U37" s="6" t="n">
        <v>6</v>
      </c>
      <c r="V37" s="6" t="n">
        <v>5</v>
      </c>
      <c r="W37" s="5" t="s">
        <v>153</v>
      </c>
    </row>
    <row r="38" customFormat="false" ht="15" hidden="false" customHeight="false" outlineLevel="0" collapsed="false">
      <c r="A38" s="4" t="s">
        <v>25</v>
      </c>
      <c r="B38" s="4" t="s">
        <v>70</v>
      </c>
      <c r="C38" s="4" t="s">
        <v>133</v>
      </c>
      <c r="D38" s="5" t="str">
        <f aca="false">IFERROR(VLOOKUP(C38,Maelezo!$A$22:$B$30,2,FALSE()),C38)</f>
        <v>Japan J3 League</v>
      </c>
      <c r="E38" s="5" t="s">
        <v>154</v>
      </c>
      <c r="F38" s="5" t="s">
        <v>155</v>
      </c>
      <c r="G38" s="6" t="n">
        <v>35</v>
      </c>
      <c r="H38" s="6" t="n">
        <v>34</v>
      </c>
      <c r="I38" s="6" t="n">
        <v>31</v>
      </c>
      <c r="J38" s="6" t="s">
        <v>55</v>
      </c>
      <c r="K38" s="6" t="s">
        <v>109</v>
      </c>
      <c r="L38" s="7" t="n">
        <v>2.44</v>
      </c>
      <c r="M38" s="6" t="n">
        <v>77</v>
      </c>
      <c r="N38" s="8" t="n">
        <v>-125</v>
      </c>
      <c r="O38" s="8" t="n">
        <v>250</v>
      </c>
      <c r="P38" s="8" t="n">
        <v>270</v>
      </c>
      <c r="Q38" s="9" t="n">
        <f aca="false">IF(N38="","",IF(N38&gt;0,ROUND(N38/100+1,2),ROUND(100/ABS(N38)+1,2)))</f>
        <v>1.8</v>
      </c>
      <c r="R38" s="9" t="n">
        <f aca="false">IF(O38="","",IF(O38&gt;0,ROUND(O38/100+1,2),ROUND(100/ABS(O38)+1,2)))</f>
        <v>3.5</v>
      </c>
      <c r="S38" s="9" t="n">
        <f aca="false">IF(P38="","",IF(P38&gt;0,ROUND(P38/100+1,2),ROUND(100/ABS(P38)+1,2)))</f>
        <v>3.7</v>
      </c>
      <c r="T38" s="10" t="n">
        <f aca="false">MAX(G38:I38)</f>
        <v>35</v>
      </c>
      <c r="U38" s="6" t="n">
        <v>16</v>
      </c>
      <c r="V38" s="6" t="n">
        <v>18</v>
      </c>
      <c r="W38" s="5" t="s">
        <v>156</v>
      </c>
    </row>
    <row r="39" customFormat="false" ht="15" hidden="false" customHeight="false" outlineLevel="0" collapsed="false">
      <c r="A39" s="4" t="s">
        <v>25</v>
      </c>
      <c r="B39" s="4" t="s">
        <v>70</v>
      </c>
      <c r="C39" s="4" t="s">
        <v>33</v>
      </c>
      <c r="D39" s="5" t="str">
        <f aca="false">IFERROR(VLOOKUP(C39,Maelezo!$A$22:$B$30,2,FALSE()),C39)</f>
        <v>Thailand (ThC)</v>
      </c>
      <c r="E39" s="5" t="s">
        <v>157</v>
      </c>
      <c r="F39" s="5" t="s">
        <v>158</v>
      </c>
      <c r="G39" s="6" t="n">
        <v>41</v>
      </c>
      <c r="H39" s="6" t="n">
        <v>28</v>
      </c>
      <c r="I39" s="6" t="n">
        <v>31</v>
      </c>
      <c r="J39" s="6" t="s">
        <v>55</v>
      </c>
      <c r="K39" s="6" t="s">
        <v>159</v>
      </c>
      <c r="L39" s="7" t="n">
        <v>3.3</v>
      </c>
      <c r="M39" s="6" t="n">
        <v>79</v>
      </c>
      <c r="N39" s="8" t="n">
        <v>111</v>
      </c>
      <c r="O39" s="8" t="n">
        <v>252</v>
      </c>
      <c r="P39" s="8" t="n">
        <v>172</v>
      </c>
      <c r="Q39" s="9" t="n">
        <f aca="false">IF(N39="","",IF(N39&gt;0,ROUND(N39/100+1,2),ROUND(100/ABS(N39)+1,2)))</f>
        <v>2.11</v>
      </c>
      <c r="R39" s="9" t="n">
        <f aca="false">IF(O39="","",IF(O39&gt;0,ROUND(O39/100+1,2),ROUND(100/ABS(O39)+1,2)))</f>
        <v>3.52</v>
      </c>
      <c r="S39" s="9" t="n">
        <f aca="false">IF(P39="","",IF(P39&gt;0,ROUND(P39/100+1,2),ROUND(100/ABS(P39)+1,2)))</f>
        <v>2.72</v>
      </c>
      <c r="T39" s="10" t="n">
        <f aca="false">MAX(G39:I39)</f>
        <v>41</v>
      </c>
      <c r="U39" s="6"/>
      <c r="V39" s="6"/>
      <c r="W39" s="5"/>
    </row>
    <row r="40" customFormat="false" ht="15" hidden="false" customHeight="false" outlineLevel="0" collapsed="false">
      <c r="A40" s="4" t="s">
        <v>25</v>
      </c>
      <c r="B40" s="4" t="s">
        <v>70</v>
      </c>
      <c r="C40" s="4" t="s">
        <v>33</v>
      </c>
      <c r="D40" s="5" t="str">
        <f aca="false">IFERROR(VLOOKUP(C40,Maelezo!$A$22:$B$30,2,FALSE()),C40)</f>
        <v>Thailand (ThC)</v>
      </c>
      <c r="E40" s="5" t="s">
        <v>160</v>
      </c>
      <c r="F40" s="5" t="s">
        <v>161</v>
      </c>
      <c r="G40" s="6" t="n">
        <v>29</v>
      </c>
      <c r="H40" s="6" t="n">
        <v>38</v>
      </c>
      <c r="I40" s="6" t="n">
        <v>33</v>
      </c>
      <c r="J40" s="6" t="s">
        <v>36</v>
      </c>
      <c r="K40" s="6" t="s">
        <v>125</v>
      </c>
      <c r="L40" s="7" t="n">
        <v>2.62</v>
      </c>
      <c r="M40" s="6" t="n">
        <v>84</v>
      </c>
      <c r="N40" s="8" t="n">
        <v>333</v>
      </c>
      <c r="O40" s="8" t="n">
        <v>240</v>
      </c>
      <c r="P40" s="8" t="n">
        <v>-143</v>
      </c>
      <c r="Q40" s="9" t="n">
        <f aca="false">IF(N40="","",IF(N40&gt;0,ROUND(N40/100+1,2),ROUND(100/ABS(N40)+1,2)))</f>
        <v>4.33</v>
      </c>
      <c r="R40" s="9" t="n">
        <f aca="false">IF(O40="","",IF(O40&gt;0,ROUND(O40/100+1,2),ROUND(100/ABS(O40)+1,2)))</f>
        <v>3.4</v>
      </c>
      <c r="S40" s="9" t="n">
        <f aca="false">IF(P40="","",IF(P40&gt;0,ROUND(P40/100+1,2),ROUND(100/ABS(P40)+1,2)))</f>
        <v>1.7</v>
      </c>
      <c r="T40" s="10" t="n">
        <f aca="false">MAX(G40:I40)</f>
        <v>38</v>
      </c>
      <c r="U40" s="6"/>
      <c r="V40" s="6"/>
      <c r="W40" s="5"/>
    </row>
    <row r="41" customFormat="false" ht="15" hidden="false" customHeight="false" outlineLevel="0" collapsed="false">
      <c r="A41" s="4" t="s">
        <v>25</v>
      </c>
      <c r="B41" s="4" t="s">
        <v>162</v>
      </c>
      <c r="C41" s="4" t="s">
        <v>71</v>
      </c>
      <c r="D41" s="5" t="str">
        <f aca="false">IFERROR(VLOOKUP(C41,Maelezo!$A$22:$B$30,2,FALSE()),C41)</f>
        <v>Japan J1 League</v>
      </c>
      <c r="E41" s="5" t="s">
        <v>163</v>
      </c>
      <c r="F41" s="5" t="s">
        <v>164</v>
      </c>
      <c r="G41" s="6" t="n">
        <v>51</v>
      </c>
      <c r="H41" s="6" t="n">
        <v>30</v>
      </c>
      <c r="I41" s="6" t="n">
        <v>19</v>
      </c>
      <c r="J41" s="6" t="s">
        <v>55</v>
      </c>
      <c r="K41" s="6" t="s">
        <v>95</v>
      </c>
      <c r="L41" s="7" t="n">
        <v>2.75</v>
      </c>
      <c r="M41" s="6" t="n">
        <v>82</v>
      </c>
      <c r="N41" s="8" t="n">
        <v>-149</v>
      </c>
      <c r="O41" s="8" t="n">
        <v>275</v>
      </c>
      <c r="P41" s="8" t="n">
        <v>400</v>
      </c>
      <c r="Q41" s="9" t="n">
        <f aca="false">IF(N41="","",IF(N41&gt;0,ROUND(N41/100+1,2),ROUND(100/ABS(N41)+1,2)))</f>
        <v>1.67</v>
      </c>
      <c r="R41" s="9" t="n">
        <f aca="false">IF(O41="","",IF(O41&gt;0,ROUND(O41/100+1,2),ROUND(100/ABS(O41)+1,2)))</f>
        <v>3.75</v>
      </c>
      <c r="S41" s="9" t="n">
        <f aca="false">IF(P41="","",IF(P41&gt;0,ROUND(P41/100+1,2),ROUND(100/ABS(P41)+1,2)))</f>
        <v>5</v>
      </c>
      <c r="T41" s="10" t="n">
        <f aca="false">MAX(G41:I41)</f>
        <v>51</v>
      </c>
      <c r="U41" s="6" t="n">
        <v>9</v>
      </c>
      <c r="V41" s="6" t="n">
        <v>19</v>
      </c>
      <c r="W41" s="5" t="s">
        <v>165</v>
      </c>
    </row>
    <row r="42" customFormat="false" ht="15" hidden="false" customHeight="false" outlineLevel="0" collapsed="false">
      <c r="A42" s="4" t="s">
        <v>25</v>
      </c>
      <c r="B42" s="4" t="s">
        <v>166</v>
      </c>
      <c r="C42" s="4" t="s">
        <v>167</v>
      </c>
      <c r="D42" s="5" t="str">
        <f aca="false">IFERROR(VLOOKUP(C42,Maelezo!$A$22:$B$30,2,FALSE()),C42)</f>
        <v>Azerbaijan I Liqa</v>
      </c>
      <c r="E42" s="5" t="s">
        <v>168</v>
      </c>
      <c r="F42" s="5" t="s">
        <v>169</v>
      </c>
      <c r="G42" s="6" t="n">
        <v>23</v>
      </c>
      <c r="H42" s="6" t="n">
        <v>38</v>
      </c>
      <c r="I42" s="6" t="n">
        <v>39</v>
      </c>
      <c r="J42" s="6" t="s">
        <v>30</v>
      </c>
      <c r="K42" s="6" t="s">
        <v>91</v>
      </c>
      <c r="L42" s="7" t="n">
        <v>3.23</v>
      </c>
      <c r="M42" s="6" t="n">
        <v>73</v>
      </c>
      <c r="N42" s="8" t="n">
        <v>162</v>
      </c>
      <c r="O42" s="8" t="n">
        <v>220</v>
      </c>
      <c r="P42" s="8" t="n">
        <v>140</v>
      </c>
      <c r="Q42" s="9" t="n">
        <f aca="false">IF(N42="","",IF(N42&gt;0,ROUND(N42/100+1,2),ROUND(100/ABS(N42)+1,2)))</f>
        <v>2.62</v>
      </c>
      <c r="R42" s="9" t="n">
        <f aca="false">IF(O42="","",IF(O42&gt;0,ROUND(O42/100+1,2),ROUND(100/ABS(O42)+1,2)))</f>
        <v>3.2</v>
      </c>
      <c r="S42" s="9" t="n">
        <f aca="false">IF(P42="","",IF(P42&gt;0,ROUND(P42/100+1,2),ROUND(100/ABS(P42)+1,2)))</f>
        <v>2.4</v>
      </c>
      <c r="T42" s="10" t="n">
        <f aca="false">MAX(G42:I42)</f>
        <v>39</v>
      </c>
      <c r="U42" s="6" t="n">
        <v>1</v>
      </c>
      <c r="V42" s="6" t="n">
        <v>3</v>
      </c>
      <c r="W42" s="5" t="s">
        <v>170</v>
      </c>
    </row>
    <row r="43" customFormat="false" ht="15" hidden="false" customHeight="false" outlineLevel="0" collapsed="false">
      <c r="A43" s="4" t="s">
        <v>25</v>
      </c>
      <c r="B43" s="4" t="s">
        <v>166</v>
      </c>
      <c r="C43" s="4" t="s">
        <v>167</v>
      </c>
      <c r="D43" s="5" t="str">
        <f aca="false">IFERROR(VLOOKUP(C43,Maelezo!$A$22:$B$30,2,FALSE()),C43)</f>
        <v>Azerbaijan I Liqa</v>
      </c>
      <c r="E43" s="5" t="s">
        <v>171</v>
      </c>
      <c r="F43" s="5" t="s">
        <v>172</v>
      </c>
      <c r="G43" s="6" t="n">
        <v>42</v>
      </c>
      <c r="H43" s="6" t="n">
        <v>34</v>
      </c>
      <c r="I43" s="6" t="n">
        <v>25</v>
      </c>
      <c r="J43" s="6" t="s">
        <v>55</v>
      </c>
      <c r="K43" s="6" t="s">
        <v>109</v>
      </c>
      <c r="L43" s="7" t="n">
        <v>1.13</v>
      </c>
      <c r="M43" s="6" t="n">
        <v>59</v>
      </c>
      <c r="N43" s="8" t="n">
        <v>-714</v>
      </c>
      <c r="O43" s="8" t="n">
        <v>600</v>
      </c>
      <c r="P43" s="8" t="n">
        <v>1200</v>
      </c>
      <c r="Q43" s="9" t="n">
        <f aca="false">IF(N43="","",IF(N43&gt;0,ROUND(N43/100+1,2),ROUND(100/ABS(N43)+1,2)))</f>
        <v>1.14</v>
      </c>
      <c r="R43" s="9" t="n">
        <f aca="false">IF(O43="","",IF(O43&gt;0,ROUND(O43/100+1,2),ROUND(100/ABS(O43)+1,2)))</f>
        <v>7</v>
      </c>
      <c r="S43" s="9" t="n">
        <f aca="false">IF(P43="","",IF(P43&gt;0,ROUND(P43/100+1,2),ROUND(100/ABS(P43)+1,2)))</f>
        <v>13</v>
      </c>
      <c r="T43" s="10" t="n">
        <f aca="false">MAX(G43:I43)</f>
        <v>42</v>
      </c>
      <c r="U43" s="6" t="n">
        <v>7</v>
      </c>
      <c r="V43" s="6" t="n">
        <v>9</v>
      </c>
      <c r="W43" s="5" t="s">
        <v>173</v>
      </c>
    </row>
    <row r="44" customFormat="false" ht="15" hidden="false" customHeight="false" outlineLevel="0" collapsed="false">
      <c r="A44" s="4" t="s">
        <v>25</v>
      </c>
      <c r="B44" s="4" t="s">
        <v>166</v>
      </c>
      <c r="C44" s="4" t="s">
        <v>33</v>
      </c>
      <c r="D44" s="5" t="str">
        <f aca="false">IFERROR(VLOOKUP(C44,Maelezo!$A$22:$B$30,2,FALSE()),C44)</f>
        <v>Thailand (ThC)</v>
      </c>
      <c r="E44" s="5" t="s">
        <v>174</v>
      </c>
      <c r="F44" s="5" t="s">
        <v>175</v>
      </c>
      <c r="G44" s="6" t="n">
        <v>44</v>
      </c>
      <c r="H44" s="6" t="n">
        <v>23</v>
      </c>
      <c r="I44" s="6" t="n">
        <v>33</v>
      </c>
      <c r="J44" s="6" t="s">
        <v>55</v>
      </c>
      <c r="K44" s="6" t="s">
        <v>87</v>
      </c>
      <c r="L44" s="7" t="n">
        <v>3.2</v>
      </c>
      <c r="M44" s="6" t="n">
        <v>81</v>
      </c>
      <c r="N44" s="8" t="n">
        <v>-200</v>
      </c>
      <c r="O44" s="8" t="n">
        <v>350</v>
      </c>
      <c r="P44" s="8" t="n">
        <v>350</v>
      </c>
      <c r="Q44" s="9" t="n">
        <f aca="false">IF(N44="","",IF(N44&gt;0,ROUND(N44/100+1,2),ROUND(100/ABS(N44)+1,2)))</f>
        <v>1.5</v>
      </c>
      <c r="R44" s="9" t="n">
        <f aca="false">IF(O44="","",IF(O44&gt;0,ROUND(O44/100+1,2),ROUND(100/ABS(O44)+1,2)))</f>
        <v>4.5</v>
      </c>
      <c r="S44" s="9" t="n">
        <f aca="false">IF(P44="","",IF(P44&gt;0,ROUND(P44/100+1,2),ROUND(100/ABS(P44)+1,2)))</f>
        <v>4.5</v>
      </c>
      <c r="T44" s="10" t="n">
        <f aca="false">MAX(G44:I44)</f>
        <v>44</v>
      </c>
      <c r="U44" s="6"/>
      <c r="V44" s="6"/>
      <c r="W44" s="5"/>
    </row>
    <row r="45" customFormat="false" ht="15" hidden="false" customHeight="false" outlineLevel="0" collapsed="false">
      <c r="A45" s="4" t="s">
        <v>25</v>
      </c>
      <c r="B45" s="4" t="s">
        <v>166</v>
      </c>
      <c r="C45" s="4" t="s">
        <v>33</v>
      </c>
      <c r="D45" s="5" t="str">
        <f aca="false">IFERROR(VLOOKUP(C45,Maelezo!$A$22:$B$30,2,FALSE()),C45)</f>
        <v>Thailand (ThC)</v>
      </c>
      <c r="E45" s="5" t="s">
        <v>176</v>
      </c>
      <c r="F45" s="5" t="s">
        <v>177</v>
      </c>
      <c r="G45" s="6" t="n">
        <v>38</v>
      </c>
      <c r="H45" s="6" t="n">
        <v>32</v>
      </c>
      <c r="I45" s="6" t="n">
        <v>30</v>
      </c>
      <c r="J45" s="6" t="s">
        <v>55</v>
      </c>
      <c r="K45" s="6" t="s">
        <v>109</v>
      </c>
      <c r="L45" s="7" t="n">
        <v>2.12</v>
      </c>
      <c r="M45" s="6" t="n">
        <v>88</v>
      </c>
      <c r="N45" s="8" t="n">
        <v>425</v>
      </c>
      <c r="O45" s="8" t="n">
        <v>290</v>
      </c>
      <c r="P45" s="8" t="n">
        <v>-200</v>
      </c>
      <c r="Q45" s="9" t="n">
        <f aca="false">IF(N45="","",IF(N45&gt;0,ROUND(N45/100+1,2),ROUND(100/ABS(N45)+1,2)))</f>
        <v>5.25</v>
      </c>
      <c r="R45" s="9" t="n">
        <f aca="false">IF(O45="","",IF(O45&gt;0,ROUND(O45/100+1,2),ROUND(100/ABS(O45)+1,2)))</f>
        <v>3.9</v>
      </c>
      <c r="S45" s="9" t="n">
        <f aca="false">IF(P45="","",IF(P45&gt;0,ROUND(P45/100+1,2),ROUND(100/ABS(P45)+1,2)))</f>
        <v>1.5</v>
      </c>
      <c r="T45" s="10" t="n">
        <f aca="false">MAX(G45:I45)</f>
        <v>38</v>
      </c>
      <c r="U45" s="6"/>
      <c r="V45" s="6"/>
      <c r="W45" s="5"/>
    </row>
    <row r="46" customFormat="false" ht="15" hidden="false" customHeight="false" outlineLevel="0" collapsed="false">
      <c r="A46" s="4" t="s">
        <v>25</v>
      </c>
      <c r="B46" s="4" t="s">
        <v>166</v>
      </c>
      <c r="C46" s="4" t="s">
        <v>33</v>
      </c>
      <c r="D46" s="5" t="str">
        <f aca="false">IFERROR(VLOOKUP(C46,Maelezo!$A$22:$B$30,2,FALSE()),C46)</f>
        <v>Thailand (ThC)</v>
      </c>
      <c r="E46" s="5" t="s">
        <v>178</v>
      </c>
      <c r="F46" s="5" t="s">
        <v>179</v>
      </c>
      <c r="G46" s="6" t="n">
        <v>48</v>
      </c>
      <c r="H46" s="6" t="n">
        <v>19</v>
      </c>
      <c r="I46" s="6" t="n">
        <v>33</v>
      </c>
      <c r="J46" s="6" t="s">
        <v>55</v>
      </c>
      <c r="K46" s="6" t="s">
        <v>109</v>
      </c>
      <c r="L46" s="7" t="n">
        <v>1.82</v>
      </c>
      <c r="M46" s="6"/>
      <c r="N46" s="8" t="n">
        <v>-149</v>
      </c>
      <c r="O46" s="8" t="n">
        <v>275</v>
      </c>
      <c r="P46" s="8" t="n">
        <v>400</v>
      </c>
      <c r="Q46" s="9" t="n">
        <f aca="false">IF(N46="","",IF(N46&gt;0,ROUND(N46/100+1,2),ROUND(100/ABS(N46)+1,2)))</f>
        <v>1.67</v>
      </c>
      <c r="R46" s="9" t="n">
        <f aca="false">IF(O46="","",IF(O46&gt;0,ROUND(O46/100+1,2),ROUND(100/ABS(O46)+1,2)))</f>
        <v>3.75</v>
      </c>
      <c r="S46" s="9" t="n">
        <f aca="false">IF(P46="","",IF(P46&gt;0,ROUND(P46/100+1,2),ROUND(100/ABS(P46)+1,2)))</f>
        <v>5</v>
      </c>
      <c r="T46" s="10" t="n">
        <f aca="false">MAX(G46:I46)</f>
        <v>48</v>
      </c>
      <c r="U46" s="6"/>
      <c r="V46" s="6"/>
      <c r="W46" s="5"/>
    </row>
    <row r="48" customFormat="false" ht="15" hidden="false" customHeight="false" outlineLevel="0" collapsed="false">
      <c r="D48" s="11" t="s">
        <v>180</v>
      </c>
    </row>
    <row r="49" customFormat="false" ht="15" hidden="false" customHeight="false" outlineLevel="0" collapsed="false">
      <c r="D49" s="12" t="s">
        <v>181</v>
      </c>
      <c r="E49" s="13" t="n">
        <f aca="false">COUNTA(E5:E46)</f>
        <v>42</v>
      </c>
    </row>
    <row r="50" customFormat="false" ht="15" hidden="false" customHeight="false" outlineLevel="0" collapsed="false">
      <c r="D50" s="12" t="s">
        <v>182</v>
      </c>
      <c r="E50" s="13" t="n">
        <f aca="false">COUNTIF(J5:J46,"1")</f>
        <v>18</v>
      </c>
    </row>
    <row r="51" customFormat="false" ht="15" hidden="false" customHeight="false" outlineLevel="0" collapsed="false">
      <c r="D51" s="12" t="s">
        <v>183</v>
      </c>
      <c r="E51" s="13" t="n">
        <f aca="false">COUNTIF(J5:J46,"X")</f>
        <v>10</v>
      </c>
    </row>
    <row r="52" customFormat="false" ht="15" hidden="false" customHeight="false" outlineLevel="0" collapsed="false">
      <c r="D52" s="12" t="s">
        <v>184</v>
      </c>
      <c r="E52" s="13" t="n">
        <f aca="false">COUNTIF(J5:J46,"2")</f>
        <v>14</v>
      </c>
    </row>
    <row r="53" customFormat="false" ht="15" hidden="false" customHeight="false" outlineLevel="0" collapsed="false">
      <c r="D53" s="12" t="s">
        <v>185</v>
      </c>
      <c r="E53" s="13" t="n">
        <f aca="false">ROUND(AVERAGE(L5:L46),2)</f>
        <v>2.86</v>
      </c>
    </row>
    <row r="54" customFormat="false" ht="15" hidden="false" customHeight="false" outlineLevel="0" collapsed="false">
      <c r="D54" s="12" t="s">
        <v>186</v>
      </c>
      <c r="E54" s="13" t="n">
        <f aca="false">COUNTIF(T5:T46,"&gt;=60")</f>
        <v>5</v>
      </c>
    </row>
  </sheetData>
  <autoFilter ref="A4:W46"/>
  <conditionalFormatting sqref="T5:T46">
    <cfRule type="cellIs" priority="2" operator="greaterThanOrEqual" aboveAverage="0" equalAverage="0" bottom="0" percent="0" rank="0" text="" dxfId="7">
      <formula>60</formula>
    </cfRule>
    <cfRule type="cellIs" priority="3" operator="between" aboveAverage="0" equalAverage="0" bottom="0" percent="0" rank="0" text="" dxfId="8">
      <formula>50</formula>
      <formula>59.999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4" t="s">
        <v>187</v>
      </c>
    </row>
    <row r="3" customFormat="false" ht="31.5" hidden="false" customHeight="true" outlineLevel="0" collapsed="false">
      <c r="A3" s="15" t="s">
        <v>3</v>
      </c>
      <c r="B3" s="15" t="s">
        <v>4</v>
      </c>
      <c r="C3" s="15" t="s">
        <v>188</v>
      </c>
      <c r="D3" s="15" t="s">
        <v>189</v>
      </c>
      <c r="E3" s="15" t="s">
        <v>190</v>
      </c>
      <c r="F3" s="15" t="s">
        <v>191</v>
      </c>
      <c r="G3" s="15" t="s">
        <v>192</v>
      </c>
      <c r="H3" s="15" t="s">
        <v>193</v>
      </c>
    </row>
    <row r="4" customFormat="false" ht="15" hidden="false" customHeight="false" outlineLevel="0" collapsed="false">
      <c r="A4" s="16" t="str">
        <f aca="false">Mechi_Leo!B32</f>
        <v>12:00</v>
      </c>
      <c r="B4" s="17" t="str">
        <f aca="false">Mechi_Leo!D32</f>
        <v>Japan J3 League</v>
      </c>
      <c r="C4" s="17" t="str">
        <f aca="false">Mechi_Leo!E32</f>
        <v>Kagoshima United</v>
      </c>
      <c r="D4" s="17" t="str">
        <f aca="false">Mechi_Leo!F32</f>
        <v>Kochi United SC</v>
      </c>
      <c r="E4" s="16" t="str">
        <f aca="false">Mechi_Leo!J32</f>
        <v>1</v>
      </c>
      <c r="F4" s="16" t="n">
        <f aca="false">Mechi_Leo!T32</f>
        <v>81</v>
      </c>
      <c r="G4" s="16" t="str">
        <f aca="false">Mechi_Leo!K32</f>
        <v>4-0</v>
      </c>
      <c r="H4" s="18" t="n">
        <f aca="false">IF(Mechi_Leo!J32="1",Mechi_Leo!Q32,IF(Mechi_Leo!J32="X",Mechi_Leo!R32,Mechi_Leo!S32))</f>
        <v>1.53</v>
      </c>
    </row>
    <row r="5" customFormat="false" ht="15" hidden="false" customHeight="false" outlineLevel="0" collapsed="false">
      <c r="A5" s="16" t="str">
        <f aca="false">Mechi_Leo!B10</f>
        <v>10:00</v>
      </c>
      <c r="B5" s="17" t="str">
        <f aca="false">Mechi_Leo!D10</f>
        <v>Romania Superliga Women</v>
      </c>
      <c r="C5" s="17" t="str">
        <f aca="false">Mechi_Leo!E10</f>
        <v>Rapid W</v>
      </c>
      <c r="D5" s="17" t="str">
        <f aca="false">Mechi_Leo!F10</f>
        <v>Farul Constanţa W</v>
      </c>
      <c r="E5" s="16" t="str">
        <f aca="false">Mechi_Leo!J10</f>
        <v>2</v>
      </c>
      <c r="F5" s="16" t="n">
        <f aca="false">Mechi_Leo!T10</f>
        <v>70</v>
      </c>
      <c r="G5" s="16" t="str">
        <f aca="false">Mechi_Leo!K10</f>
        <v>2-6</v>
      </c>
      <c r="H5" s="18" t="n">
        <f aca="false">IF(Mechi_Leo!J10="1",Mechi_Leo!Q10,IF(Mechi_Leo!J10="X",Mechi_Leo!R10,Mechi_Leo!S10))</f>
        <v>1.02</v>
      </c>
    </row>
    <row r="6" customFormat="false" ht="15" hidden="false" customHeight="false" outlineLevel="0" collapsed="false">
      <c r="A6" s="16" t="str">
        <f aca="false">Mechi_Leo!B14</f>
        <v>12:00</v>
      </c>
      <c r="B6" s="17" t="str">
        <f aca="false">Mechi_Leo!D14</f>
        <v>Japan J1 League</v>
      </c>
      <c r="C6" s="17" t="str">
        <f aca="false">Mechi_Leo!E14</f>
        <v>V-Varen Nagasaki</v>
      </c>
      <c r="D6" s="17" t="str">
        <f aca="false">Mechi_Leo!F14</f>
        <v>Sanfrecce</v>
      </c>
      <c r="E6" s="16" t="str">
        <f aca="false">Mechi_Leo!J14</f>
        <v>2</v>
      </c>
      <c r="F6" s="16" t="n">
        <f aca="false">Mechi_Leo!T14</f>
        <v>69</v>
      </c>
      <c r="G6" s="16" t="str">
        <f aca="false">Mechi_Leo!K14</f>
        <v>0-2</v>
      </c>
      <c r="H6" s="18" t="n">
        <f aca="false">IF(Mechi_Leo!J14="1",Mechi_Leo!Q14,IF(Mechi_Leo!J14="X",Mechi_Leo!R14,Mechi_Leo!S14))</f>
        <v>1.45</v>
      </c>
    </row>
    <row r="7" customFormat="false" ht="15" hidden="false" customHeight="false" outlineLevel="0" collapsed="false">
      <c r="A7" s="16" t="str">
        <f aca="false">Mechi_Leo!B11</f>
        <v>10:00</v>
      </c>
      <c r="B7" s="17" t="str">
        <f aca="false">Mechi_Leo!D11</f>
        <v>Romania Superliga Women</v>
      </c>
      <c r="C7" s="17" t="str">
        <f aca="false">Mechi_Leo!E11</f>
        <v>Ol. Cluj W</v>
      </c>
      <c r="D7" s="17" t="str">
        <f aca="false">Mechi_Leo!F11</f>
        <v>Universitatea Craiova W</v>
      </c>
      <c r="E7" s="16" t="str">
        <f aca="false">Mechi_Leo!J11</f>
        <v>1</v>
      </c>
      <c r="F7" s="16" t="n">
        <f aca="false">Mechi_Leo!T11</f>
        <v>67</v>
      </c>
      <c r="G7" s="16" t="str">
        <f aca="false">Mechi_Leo!K11</f>
        <v>4-1</v>
      </c>
      <c r="H7" s="18" t="n">
        <f aca="false">IF(Mechi_Leo!J11="1",Mechi_Leo!Q11,IF(Mechi_Leo!J11="X",Mechi_Leo!R11,Mechi_Leo!S11))</f>
        <v>2.55</v>
      </c>
    </row>
    <row r="8" customFormat="false" ht="15" hidden="false" customHeight="false" outlineLevel="0" collapsed="false">
      <c r="A8" s="16" t="str">
        <f aca="false">Mechi_Leo!B26</f>
        <v>12:00</v>
      </c>
      <c r="B8" s="17" t="str">
        <f aca="false">Mechi_Leo!D26</f>
        <v>Japan J2 League</v>
      </c>
      <c r="C8" s="17" t="str">
        <f aca="false">Mechi_Leo!E26</f>
        <v>Albirex Niigata</v>
      </c>
      <c r="D8" s="17" t="str">
        <f aca="false">Mechi_Leo!F26</f>
        <v>Sagan Tosu</v>
      </c>
      <c r="E8" s="16" t="str">
        <f aca="false">Mechi_Leo!J26</f>
        <v>1</v>
      </c>
      <c r="F8" s="16" t="n">
        <f aca="false">Mechi_Leo!T26</f>
        <v>60</v>
      </c>
      <c r="G8" s="16" t="str">
        <f aca="false">Mechi_Leo!K26</f>
        <v>1-0</v>
      </c>
      <c r="H8" s="18" t="n">
        <f aca="false">IF(Mechi_Leo!J26="1",Mechi_Leo!Q26,IF(Mechi_Leo!J26="X",Mechi_Leo!R26,Mechi_Leo!S26))</f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9" t="s">
        <v>194</v>
      </c>
    </row>
    <row r="2" customFormat="false" ht="23.85" hidden="false" customHeight="false" outlineLevel="0" collapsed="false">
      <c r="A2" s="20" t="s">
        <v>195</v>
      </c>
    </row>
    <row r="3" customFormat="false" ht="23.85" hidden="false" customHeight="false" outlineLevel="0" collapsed="false">
      <c r="A3" s="20" t="s">
        <v>196</v>
      </c>
    </row>
    <row r="4" customFormat="false" ht="23.85" hidden="false" customHeight="false" outlineLevel="0" collapsed="false">
      <c r="A4" s="20" t="s">
        <v>197</v>
      </c>
    </row>
    <row r="5" customFormat="false" ht="15" hidden="false" customHeight="false" outlineLevel="0" collapsed="false">
      <c r="A5" s="20"/>
    </row>
    <row r="6" customFormat="false" ht="15" hidden="false" customHeight="false" outlineLevel="0" collapsed="false">
      <c r="A6" s="19" t="s">
        <v>198</v>
      </c>
    </row>
    <row r="7" customFormat="false" ht="23.85" hidden="false" customHeight="false" outlineLevel="0" collapsed="false">
      <c r="A7" s="20" t="s">
        <v>199</v>
      </c>
    </row>
    <row r="8" customFormat="false" ht="15" hidden="false" customHeight="false" outlineLevel="0" collapsed="false">
      <c r="A8" s="20" t="s">
        <v>200</v>
      </c>
    </row>
    <row r="9" customFormat="false" ht="23.85" hidden="false" customHeight="false" outlineLevel="0" collapsed="false">
      <c r="A9" s="20" t="s">
        <v>201</v>
      </c>
    </row>
    <row r="10" customFormat="false" ht="15" hidden="false" customHeight="false" outlineLevel="0" collapsed="false">
      <c r="A10" s="20" t="s">
        <v>202</v>
      </c>
    </row>
    <row r="11" customFormat="false" ht="15" hidden="false" customHeight="false" outlineLevel="0" collapsed="false">
      <c r="A11" s="20" t="s">
        <v>203</v>
      </c>
    </row>
    <row r="12" customFormat="false" ht="15" hidden="false" customHeight="false" outlineLevel="0" collapsed="false">
      <c r="A12" s="20" t="s">
        <v>204</v>
      </c>
    </row>
    <row r="13" customFormat="false" ht="15" hidden="false" customHeight="false" outlineLevel="0" collapsed="false">
      <c r="A13" s="20"/>
    </row>
    <row r="14" customFormat="false" ht="15" hidden="false" customHeight="false" outlineLevel="0" collapsed="false">
      <c r="A14" s="19" t="s">
        <v>205</v>
      </c>
    </row>
    <row r="15" customFormat="false" ht="15" hidden="false" customHeight="false" outlineLevel="0" collapsed="false">
      <c r="A15" s="20" t="s">
        <v>206</v>
      </c>
    </row>
    <row r="16" customFormat="false" ht="23.85" hidden="false" customHeight="false" outlineLevel="0" collapsed="false">
      <c r="A16" s="20" t="s">
        <v>207</v>
      </c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19" t="s">
        <v>208</v>
      </c>
    </row>
    <row r="22" customFormat="false" ht="15" hidden="false" customHeight="false" outlineLevel="0" collapsed="false">
      <c r="A22" s="12" t="s">
        <v>27</v>
      </c>
      <c r="B22" s="12" t="s">
        <v>209</v>
      </c>
    </row>
    <row r="23" customFormat="false" ht="15" hidden="false" customHeight="false" outlineLevel="0" collapsed="false">
      <c r="A23" s="12" t="s">
        <v>33</v>
      </c>
      <c r="B23" s="12" t="s">
        <v>210</v>
      </c>
    </row>
    <row r="24" customFormat="false" ht="15" hidden="false" customHeight="false" outlineLevel="0" collapsed="false">
      <c r="A24" s="12" t="s">
        <v>44</v>
      </c>
      <c r="B24" s="12" t="s">
        <v>211</v>
      </c>
    </row>
    <row r="25" customFormat="false" ht="15" hidden="false" customHeight="false" outlineLevel="0" collapsed="false">
      <c r="A25" s="12" t="s">
        <v>59</v>
      </c>
      <c r="B25" s="12" t="s">
        <v>212</v>
      </c>
    </row>
    <row r="26" customFormat="false" ht="15" hidden="false" customHeight="false" outlineLevel="0" collapsed="false">
      <c r="A26" s="12" t="s">
        <v>65</v>
      </c>
      <c r="B26" s="12" t="s">
        <v>213</v>
      </c>
    </row>
    <row r="27" customFormat="false" ht="15" hidden="false" customHeight="false" outlineLevel="0" collapsed="false">
      <c r="A27" s="12" t="s">
        <v>71</v>
      </c>
      <c r="B27" s="12" t="s">
        <v>214</v>
      </c>
    </row>
    <row r="28" customFormat="false" ht="15" hidden="false" customHeight="false" outlineLevel="0" collapsed="false">
      <c r="A28" s="12" t="s">
        <v>103</v>
      </c>
      <c r="B28" s="12" t="s">
        <v>215</v>
      </c>
    </row>
    <row r="29" customFormat="false" ht="15" hidden="false" customHeight="false" outlineLevel="0" collapsed="false">
      <c r="A29" s="12" t="s">
        <v>133</v>
      </c>
      <c r="B29" s="12" t="s">
        <v>216</v>
      </c>
    </row>
    <row r="30" customFormat="false" ht="15" hidden="false" customHeight="false" outlineLevel="0" collapsed="false">
      <c r="A30" s="12" t="s">
        <v>167</v>
      </c>
      <c r="B30" s="12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2026-10-21T14:52:24Z</dcterms:created>
  <dc:creator>openpyxl</dc:creator>
  <dc:description/>
  <dc:language>en-US</dc:language>
  <cp:lastModifiedBy/>
  <dcterms:modified xsi:type="dcterms:W3CDTF">2026-10-21T14:52:24Z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